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eronimoGuzman\StreamlitReportes\data\"/>
    </mc:Choice>
  </mc:AlternateContent>
  <xr:revisionPtr revIDLastSave="0" documentId="13_ncr:1_{607F4CF7-0A11-4B24-96ED-66E321BD0E89}" xr6:coauthVersionLast="47" xr6:coauthVersionMax="47" xr10:uidLastSave="{00000000-0000-0000-0000-000000000000}"/>
  <bookViews>
    <workbookView xWindow="0" yWindow="360" windowWidth="20730" windowHeight="11040" firstSheet="1" activeTab="2" xr2:uid="{97D4623D-53B0-40C2-A781-0967AE19A8CE}"/>
  </bookViews>
  <sheets>
    <sheet name="festivos" sheetId="3" state="hidden" r:id="rId1"/>
    <sheet name="catalogo" sheetId="1" r:id="rId2"/>
    <sheet name="indices" sheetId="2" r:id="rId3"/>
  </sheets>
  <externalReferences>
    <externalReference r:id="rId4"/>
  </externalReferences>
  <definedNames>
    <definedName name="_xlnm._FilterDatabase" localSheetId="0" hidden="1">festivos!$A$1:$B$480</definedName>
    <definedName name="Días_festivos">festivos!$A$2:$A$527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9" i="2" l="1"/>
  <c r="D499" i="2"/>
  <c r="C499" i="2"/>
  <c r="B499" i="2"/>
  <c r="A499" i="2"/>
  <c r="A374" i="2"/>
  <c r="A373" i="2"/>
  <c r="A120" i="2" l="1"/>
  <c r="E2" i="2"/>
  <c r="D2" i="2"/>
  <c r="C2" i="2"/>
  <c r="B2" i="2"/>
  <c r="A2" i="2"/>
  <c r="A4" i="2"/>
  <c r="F2" i="3"/>
  <c r="A121" i="2" l="1"/>
  <c r="A5" i="2"/>
  <c r="A122" i="2" l="1"/>
  <c r="A6" i="2"/>
  <c r="A123" i="2" l="1"/>
  <c r="A7" i="2"/>
  <c r="A124" i="2" l="1"/>
  <c r="A8" i="2"/>
  <c r="A125" i="2" l="1"/>
  <c r="A9" i="2"/>
  <c r="A126" i="2" l="1"/>
  <c r="A10" i="2"/>
  <c r="A127" i="2" l="1"/>
  <c r="A11" i="2"/>
  <c r="A128" i="2" l="1"/>
  <c r="A12" i="2"/>
  <c r="A129" i="2" l="1"/>
  <c r="A13" i="2"/>
  <c r="A130" i="2" l="1"/>
  <c r="A14" i="2"/>
  <c r="A131" i="2" l="1"/>
  <c r="A15" i="2"/>
  <c r="A132" i="2" l="1"/>
  <c r="A16" i="2"/>
  <c r="A133" i="2" l="1"/>
  <c r="A17" i="2"/>
  <c r="A134" i="2" l="1"/>
  <c r="A18" i="2"/>
  <c r="A135" i="2" l="1"/>
  <c r="A19" i="2"/>
  <c r="A136" i="2" l="1"/>
  <c r="A20" i="2"/>
  <c r="A137" i="2" l="1"/>
  <c r="A21" i="2"/>
  <c r="A138" i="2" l="1"/>
  <c r="A22" i="2"/>
  <c r="A139" i="2" l="1"/>
  <c r="A23" i="2"/>
  <c r="A140" i="2" l="1"/>
  <c r="A24" i="2"/>
  <c r="A141" i="2" l="1"/>
  <c r="A25" i="2"/>
  <c r="A142" i="2" l="1"/>
  <c r="A26" i="2"/>
  <c r="A143" i="2" l="1"/>
  <c r="A27" i="2"/>
  <c r="A144" i="2" l="1"/>
  <c r="A28" i="2"/>
  <c r="A145" i="2" l="1"/>
  <c r="A29" i="2"/>
  <c r="A146" i="2" l="1"/>
  <c r="A30" i="2"/>
  <c r="A147" i="2" l="1"/>
  <c r="A31" i="2"/>
  <c r="A148" i="2" l="1"/>
  <c r="A32" i="2"/>
  <c r="A149" i="2" l="1"/>
  <c r="A33" i="2"/>
  <c r="A150" i="2" l="1"/>
  <c r="A34" i="2"/>
  <c r="A151" i="2" l="1"/>
  <c r="A35" i="2"/>
  <c r="A152" i="2" l="1"/>
  <c r="A36" i="2"/>
  <c r="A153" i="2" l="1"/>
  <c r="A37" i="2"/>
  <c r="A154" i="2" l="1"/>
  <c r="A38" i="2"/>
  <c r="A155" i="2" l="1"/>
  <c r="A39" i="2"/>
  <c r="A156" i="2" l="1"/>
  <c r="A40" i="2"/>
  <c r="A157" i="2" l="1"/>
  <c r="A41" i="2"/>
  <c r="A158" i="2" l="1"/>
  <c r="A42" i="2"/>
  <c r="A159" i="2" l="1"/>
  <c r="A43" i="2"/>
  <c r="A160" i="2" l="1"/>
  <c r="A44" i="2"/>
  <c r="A161" i="2" l="1"/>
  <c r="A45" i="2"/>
  <c r="A162" i="2" l="1"/>
  <c r="A46" i="2"/>
  <c r="A163" i="2" l="1"/>
  <c r="A47" i="2"/>
  <c r="A164" i="2" l="1"/>
  <c r="A48" i="2"/>
  <c r="A165" i="2" l="1"/>
  <c r="A49" i="2"/>
  <c r="A166" i="2" l="1"/>
  <c r="A50" i="2"/>
  <c r="A167" i="2" l="1"/>
  <c r="A51" i="2"/>
  <c r="A168" i="2" l="1"/>
  <c r="A52" i="2"/>
  <c r="A169" i="2" l="1"/>
  <c r="A53" i="2"/>
  <c r="A170" i="2" l="1"/>
  <c r="A54" i="2"/>
  <c r="A171" i="2" l="1"/>
  <c r="A55" i="2"/>
  <c r="A172" i="2" l="1"/>
  <c r="A56" i="2"/>
  <c r="A173" i="2" l="1"/>
  <c r="A57" i="2"/>
  <c r="A174" i="2" l="1"/>
  <c r="A58" i="2"/>
  <c r="A175" i="2" l="1"/>
  <c r="A59" i="2"/>
  <c r="A176" i="2" l="1"/>
  <c r="A60" i="2"/>
  <c r="A177" i="2" l="1"/>
  <c r="A61" i="2"/>
  <c r="A178" i="2" l="1"/>
  <c r="A62" i="2"/>
  <c r="A179" i="2" l="1"/>
  <c r="A63" i="2"/>
  <c r="A180" i="2" l="1"/>
  <c r="A64" i="2"/>
  <c r="A181" i="2" l="1"/>
  <c r="A65" i="2"/>
  <c r="A182" i="2" l="1"/>
  <c r="A66" i="2"/>
  <c r="A183" i="2" l="1"/>
  <c r="A67" i="2"/>
  <c r="A184" i="2" l="1"/>
  <c r="A68" i="2"/>
  <c r="A185" i="2" l="1"/>
  <c r="A69" i="2"/>
  <c r="A186" i="2" l="1"/>
  <c r="A70" i="2"/>
  <c r="A187" i="2" l="1"/>
  <c r="A71" i="2"/>
  <c r="A188" i="2" l="1"/>
  <c r="A72" i="2"/>
  <c r="A189" i="2" l="1"/>
  <c r="A73" i="2"/>
  <c r="A190" i="2" l="1"/>
  <c r="A74" i="2"/>
  <c r="A191" i="2" l="1"/>
  <c r="A75" i="2"/>
  <c r="A192" i="2" l="1"/>
  <c r="A76" i="2"/>
  <c r="A193" i="2" l="1"/>
  <c r="A77" i="2"/>
  <c r="A194" i="2" l="1"/>
  <c r="A78" i="2"/>
  <c r="A195" i="2" l="1"/>
  <c r="A79" i="2"/>
  <c r="A196" i="2" l="1"/>
  <c r="A80" i="2"/>
  <c r="A197" i="2" l="1"/>
  <c r="A81" i="2"/>
  <c r="A198" i="2" l="1"/>
  <c r="A82" i="2"/>
  <c r="A199" i="2" l="1"/>
  <c r="A83" i="2"/>
  <c r="A200" i="2" l="1"/>
  <c r="A84" i="2"/>
  <c r="A201" i="2" l="1"/>
  <c r="A85" i="2"/>
  <c r="A202" i="2" l="1"/>
  <c r="A86" i="2"/>
  <c r="A203" i="2" l="1"/>
  <c r="A87" i="2"/>
  <c r="A204" i="2" l="1"/>
  <c r="A88" i="2"/>
  <c r="A205" i="2" l="1"/>
  <c r="A89" i="2"/>
  <c r="A206" i="2" l="1"/>
  <c r="A90" i="2"/>
  <c r="A207" i="2" l="1"/>
  <c r="A91" i="2"/>
  <c r="A208" i="2" l="1"/>
  <c r="A92" i="2"/>
  <c r="A209" i="2" l="1"/>
  <c r="A93" i="2"/>
  <c r="A210" i="2" l="1"/>
  <c r="A94" i="2"/>
  <c r="A211" i="2" l="1"/>
  <c r="A95" i="2"/>
  <c r="A212" i="2" l="1"/>
  <c r="A96" i="2"/>
  <c r="A213" i="2" l="1"/>
  <c r="A97" i="2"/>
  <c r="A214" i="2" l="1"/>
  <c r="A98" i="2"/>
  <c r="A215" i="2" l="1"/>
  <c r="A99" i="2"/>
  <c r="A216" i="2" l="1"/>
  <c r="A100" i="2"/>
  <c r="A217" i="2" l="1"/>
  <c r="A101" i="2"/>
  <c r="A218" i="2" l="1"/>
  <c r="A102" i="2"/>
  <c r="A219" i="2" l="1"/>
  <c r="A103" i="2"/>
  <c r="A220" i="2" l="1"/>
  <c r="A104" i="2"/>
  <c r="A221" i="2" l="1"/>
  <c r="A105" i="2"/>
  <c r="A222" i="2" l="1"/>
  <c r="A106" i="2"/>
  <c r="A223" i="2" l="1"/>
  <c r="A107" i="2"/>
  <c r="A224" i="2" l="1"/>
  <c r="A108" i="2"/>
  <c r="A225" i="2" l="1"/>
  <c r="A109" i="2"/>
  <c r="A226" i="2" l="1"/>
  <c r="A110" i="2"/>
  <c r="A227" i="2" l="1"/>
  <c r="A111" i="2"/>
  <c r="A228" i="2" l="1"/>
  <c r="A112" i="2"/>
  <c r="A229" i="2" l="1"/>
  <c r="A113" i="2"/>
  <c r="A230" i="2" l="1"/>
  <c r="A114" i="2"/>
  <c r="A231" i="2" l="1"/>
  <c r="A115" i="2"/>
  <c r="A232" i="2" l="1"/>
  <c r="A116" i="2"/>
  <c r="A233" i="2" l="1"/>
  <c r="A117" i="2"/>
  <c r="A234" i="2" l="1"/>
  <c r="A118" i="2"/>
  <c r="A235" i="2" l="1"/>
  <c r="A119" i="2"/>
  <c r="A236" i="2" l="1"/>
  <c r="A237" i="2" l="1"/>
  <c r="A238" i="2" l="1"/>
  <c r="A239" i="2" l="1"/>
  <c r="A240" i="2" l="1"/>
  <c r="A241" i="2" l="1"/>
  <c r="A242" i="2" l="1"/>
  <c r="A243" i="2" l="1"/>
  <c r="A244" i="2" l="1"/>
  <c r="A245" i="2" l="1"/>
  <c r="A246" i="2" l="1"/>
  <c r="A247" i="2" l="1"/>
  <c r="A248" i="2" l="1"/>
  <c r="A249" i="2" l="1"/>
  <c r="A250" i="2" l="1"/>
  <c r="A251" i="2" l="1"/>
  <c r="A252" i="2" l="1"/>
  <c r="A253" i="2" l="1"/>
  <c r="A254" i="2" l="1"/>
  <c r="A255" i="2" l="1"/>
  <c r="A256" i="2" l="1"/>
  <c r="A257" i="2" l="1"/>
  <c r="A258" i="2" l="1"/>
  <c r="A259" i="2" l="1"/>
  <c r="A260" i="2" l="1"/>
  <c r="A261" i="2" l="1"/>
  <c r="A262" i="2" l="1"/>
  <c r="A263" i="2" l="1"/>
  <c r="A264" i="2" l="1"/>
  <c r="A265" i="2" l="1"/>
  <c r="A266" i="2" l="1"/>
  <c r="A267" i="2" l="1"/>
  <c r="A268" i="2" l="1"/>
  <c r="A269" i="2" l="1"/>
  <c r="A270" i="2" l="1"/>
  <c r="A271" i="2" l="1"/>
  <c r="A272" i="2" l="1"/>
  <c r="A273" i="2" l="1"/>
  <c r="A274" i="2" l="1"/>
  <c r="A275" i="2" l="1"/>
  <c r="A276" i="2" l="1"/>
  <c r="A277" i="2" l="1"/>
  <c r="A278" i="2" l="1"/>
  <c r="A279" i="2" l="1"/>
  <c r="A280" i="2" l="1"/>
  <c r="A281" i="2" l="1"/>
  <c r="A282" i="2" l="1"/>
  <c r="A283" i="2" l="1"/>
  <c r="A284" i="2" l="1"/>
  <c r="A285" i="2" l="1"/>
  <c r="A286" i="2" l="1"/>
  <c r="A287" i="2" l="1"/>
  <c r="A288" i="2" l="1"/>
  <c r="A289" i="2" l="1"/>
  <c r="A290" i="2" l="1"/>
  <c r="A291" i="2" l="1"/>
  <c r="A292" i="2" l="1"/>
  <c r="A293" i="2" l="1"/>
  <c r="A294" i="2" l="1"/>
  <c r="A295" i="2" l="1"/>
  <c r="A296" i="2" l="1"/>
  <c r="A297" i="2" l="1"/>
  <c r="A298" i="2" l="1"/>
  <c r="A299" i="2" l="1"/>
  <c r="A300" i="2" l="1"/>
  <c r="A301" i="2" l="1"/>
  <c r="A302" i="2" l="1"/>
  <c r="A303" i="2" l="1"/>
  <c r="A304" i="2" l="1"/>
  <c r="A305" i="2" l="1"/>
  <c r="A306" i="2" l="1"/>
  <c r="A307" i="2" l="1"/>
  <c r="A308" i="2" l="1"/>
  <c r="A309" i="2" l="1"/>
  <c r="A310" i="2" l="1"/>
  <c r="A311" i="2" l="1"/>
  <c r="A312" i="2" l="1"/>
  <c r="A313" i="2" l="1"/>
  <c r="A314" i="2" l="1"/>
  <c r="A315" i="2" l="1"/>
  <c r="A316" i="2" l="1"/>
  <c r="A317" i="2" l="1"/>
  <c r="A318" i="2" l="1"/>
  <c r="A319" i="2" l="1"/>
  <c r="A320" i="2" l="1"/>
  <c r="A321" i="2" l="1"/>
  <c r="A322" i="2" l="1"/>
  <c r="A323" i="2" l="1"/>
  <c r="A324" i="2" l="1"/>
  <c r="A325" i="2" l="1"/>
  <c r="A326" i="2" l="1"/>
  <c r="A327" i="2" l="1"/>
  <c r="A328" i="2" l="1"/>
  <c r="A329" i="2" l="1"/>
  <c r="A330" i="2" l="1"/>
  <c r="A331" i="2" l="1"/>
  <c r="A332" i="2" l="1"/>
  <c r="A333" i="2" l="1"/>
  <c r="A334" i="2" l="1"/>
  <c r="A335" i="2" l="1"/>
  <c r="A336" i="2" l="1"/>
  <c r="A337" i="2" l="1"/>
  <c r="A338" i="2" l="1"/>
  <c r="A339" i="2" l="1"/>
  <c r="A340" i="2" l="1"/>
  <c r="A341" i="2" l="1"/>
  <c r="A342" i="2" l="1"/>
  <c r="A343" i="2" l="1"/>
  <c r="A344" i="2" l="1"/>
  <c r="A345" i="2" l="1"/>
  <c r="A346" i="2" l="1"/>
  <c r="A347" i="2" l="1"/>
  <c r="A348" i="2" l="1"/>
  <c r="A349" i="2" l="1"/>
  <c r="A350" i="2" l="1"/>
  <c r="A351" i="2" l="1"/>
  <c r="A352" i="2" l="1"/>
  <c r="A353" i="2" l="1"/>
  <c r="A354" i="2" l="1"/>
  <c r="A355" i="2" l="1"/>
  <c r="A356" i="2" l="1"/>
  <c r="A357" i="2" l="1"/>
  <c r="A358" i="2" l="1"/>
  <c r="A359" i="2" l="1"/>
  <c r="A360" i="2" l="1"/>
  <c r="A361" i="2" l="1"/>
  <c r="A362" i="2" l="1"/>
  <c r="A363" i="2" l="1"/>
  <c r="A364" i="2" l="1"/>
  <c r="A365" i="2" l="1"/>
  <c r="A366" i="2" l="1"/>
  <c r="A367" i="2" l="1"/>
  <c r="A368" i="2" l="1"/>
</calcChain>
</file>

<file path=xl/sharedStrings.xml><?xml version="1.0" encoding="utf-8"?>
<sst xmlns="http://schemas.openxmlformats.org/spreadsheetml/2006/main" count="16" uniqueCount="12">
  <si>
    <t>SPVFURT Index</t>
  </si>
  <si>
    <t>SPVMBNS Index</t>
  </si>
  <si>
    <t>SPVIFUB Index</t>
  </si>
  <si>
    <t>SPVCP3A Index</t>
  </si>
  <si>
    <t>S&amp;P/BMV Sovereign Funding Rate Bond Index</t>
  </si>
  <si>
    <t>S&amp;P/BMV Sovereign MBONOS Bond Index</t>
  </si>
  <si>
    <t>S&amp;P/BMV Sovereign UDIBONOS Bond Index</t>
  </si>
  <si>
    <t>S&amp;P/BMV Corporate AAA Rated Bond Index</t>
  </si>
  <si>
    <t>Ticker</t>
  </si>
  <si>
    <t>Nombre</t>
  </si>
  <si>
    <t>Días_festivos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</si>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</sst>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40A]dd\-mmm\-yy;@"/>
    <numFmt numFmtId="165" formatCode="0.0000"/>
  </numFmts>
  <fonts count="9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rial Unicode MS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color theme="5" tint="-0.24997711111789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15" fontId="7" fillId="0" borderId="0" xfId="1" applyNumberFormat="1" applyFont="1" applyAlignment="1">
      <alignment horizontal="center" vertical="center"/>
    </xf>
    <xf numFmtId="15" fontId="7" fillId="2" borderId="0" xfId="1" applyNumberFormat="1" applyFont="1" applyFill="1" applyAlignment="1">
      <alignment horizontal="center" vertical="center"/>
    </xf>
    <xf numFmtId="1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2B5DC827-D6C8-4225-BC4C-76B82ABA08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B:\Inversiones\Captura%20diaria.xlsm" TargetMode="External"/><Relationship Id="rId1" Type="http://schemas.openxmlformats.org/officeDocument/2006/relationships/externalLinkPath" Target="file:///B:\Inversiones\Captura%20diar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ks"/>
      <sheetName val="Diario"/>
      <sheetName val="archivos"/>
      <sheetName val="links indices (TR)"/>
      <sheetName val="links indices precios"/>
      <sheetName val="Festivos"/>
    </sheetNames>
    <sheetDataSet>
      <sheetData sheetId="0"/>
      <sheetData sheetId="1">
        <row r="9">
          <cell r="B9" t="str">
            <v>CUSIP</v>
          </cell>
          <cell r="C9" t="str">
            <v>PX LAST</v>
          </cell>
        </row>
        <row r="10">
          <cell r="B10"/>
          <cell r="C10"/>
        </row>
        <row r="11">
          <cell r="B11" t="str">
            <v>SF61745</v>
          </cell>
          <cell r="C11" t="e">
            <v>#N/A</v>
          </cell>
        </row>
        <row r="12">
          <cell r="B12" t="str">
            <v>SF43773</v>
          </cell>
          <cell r="C12" t="e">
            <v>#N/A</v>
          </cell>
        </row>
        <row r="13">
          <cell r="B13" t="str">
            <v>SF43774</v>
          </cell>
          <cell r="C13" t="e">
            <v>#N/A</v>
          </cell>
        </row>
        <row r="14">
          <cell r="B14" t="str">
            <v>SF331451</v>
          </cell>
          <cell r="C14" t="e">
            <v>#N/A</v>
          </cell>
        </row>
        <row r="15">
          <cell r="B15"/>
          <cell r="C15"/>
        </row>
        <row r="16">
          <cell r="B16" t="str">
            <v>SF43783</v>
          </cell>
          <cell r="C16" t="e">
            <v>#N/A</v>
          </cell>
        </row>
        <row r="17">
          <cell r="B17" t="str">
            <v>SF43878</v>
          </cell>
          <cell r="C17" t="e">
            <v>#N/A</v>
          </cell>
        </row>
        <row r="18">
          <cell r="B18"/>
          <cell r="C18"/>
        </row>
        <row r="19">
          <cell r="B19" t="str">
            <v>SF43787</v>
          </cell>
          <cell r="C19" t="e">
            <v>#N/A</v>
          </cell>
        </row>
        <row r="20">
          <cell r="B20" t="str">
            <v>SF43784</v>
          </cell>
          <cell r="C20" t="e">
            <v>#N/A</v>
          </cell>
        </row>
        <row r="21">
          <cell r="B21" t="str">
            <v>SF43788</v>
          </cell>
          <cell r="C21" t="e">
            <v>#N/A</v>
          </cell>
        </row>
        <row r="22">
          <cell r="B22" t="str">
            <v>SF43786</v>
          </cell>
          <cell r="C22" t="e">
            <v>#N/A</v>
          </cell>
        </row>
        <row r="23">
          <cell r="B23" t="str">
            <v>SF43785</v>
          </cell>
          <cell r="C23" t="e">
            <v>#N/A</v>
          </cell>
        </row>
        <row r="24">
          <cell r="B24" t="str">
            <v>SF43717</v>
          </cell>
          <cell r="C24" t="e">
            <v>#N/A</v>
          </cell>
        </row>
        <row r="25">
          <cell r="B25" t="str">
            <v>SF63528</v>
          </cell>
          <cell r="C25" t="e">
            <v>#N/A</v>
          </cell>
        </row>
        <row r="26">
          <cell r="B26"/>
          <cell r="C26"/>
        </row>
        <row r="27">
          <cell r="B27" t="str">
            <v>MEXBOL Index</v>
          </cell>
          <cell r="C27">
            <v>64778.18</v>
          </cell>
        </row>
        <row r="28">
          <cell r="B28" t="str">
            <v>CCMP Index</v>
          </cell>
          <cell r="C28">
            <v>23428.83</v>
          </cell>
        </row>
        <row r="29">
          <cell r="B29" t="str">
            <v>INDU Index</v>
          </cell>
          <cell r="C29">
            <v>48362.68</v>
          </cell>
        </row>
        <row r="30">
          <cell r="B30" t="str">
            <v>IBOV Index</v>
          </cell>
          <cell r="C30">
            <v>158141.65</v>
          </cell>
        </row>
        <row r="31">
          <cell r="B31" t="str">
            <v>MAR Index</v>
          </cell>
          <cell r="C31" t="str">
            <v>#N/A N/A</v>
          </cell>
        </row>
        <row r="32">
          <cell r="B32" t="str">
            <v>ASX Index</v>
          </cell>
          <cell r="C32">
            <v>5315.58</v>
          </cell>
        </row>
        <row r="33">
          <cell r="B33" t="str">
            <v>UKX Index</v>
          </cell>
          <cell r="C33">
            <v>9865.9699999999993</v>
          </cell>
        </row>
        <row r="34">
          <cell r="B34" t="str">
            <v>CAC Index</v>
          </cell>
          <cell r="C34">
            <v>8121.07</v>
          </cell>
        </row>
        <row r="35">
          <cell r="B35" t="str">
            <v>DAX Index</v>
          </cell>
          <cell r="C35">
            <v>24283.97</v>
          </cell>
        </row>
        <row r="36">
          <cell r="B36" t="str">
            <v>NKY Index</v>
          </cell>
          <cell r="C36">
            <v>50402.39</v>
          </cell>
        </row>
        <row r="37">
          <cell r="B37" t="str">
            <v>KOSPI Index</v>
          </cell>
          <cell r="C37">
            <v>4105.93</v>
          </cell>
        </row>
        <row r="38">
          <cell r="B38" t="str">
            <v>SPTSX Index</v>
          </cell>
          <cell r="C38">
            <v>32000.1</v>
          </cell>
        </row>
        <row r="39">
          <cell r="B39" t="str">
            <v>IRT index</v>
          </cell>
          <cell r="C39">
            <v>110719.4</v>
          </cell>
        </row>
        <row r="40">
          <cell r="B40" t="str">
            <v>SHCOMP Index</v>
          </cell>
          <cell r="C40">
            <v>3917.364</v>
          </cell>
        </row>
        <row r="41">
          <cell r="B41" t="str">
            <v>SPX Index</v>
          </cell>
          <cell r="C41">
            <v>6878.49</v>
          </cell>
        </row>
        <row r="42">
          <cell r="B42" t="str">
            <v>SZCOMP Index</v>
          </cell>
          <cell r="C42">
            <v>2492.7040000000002</v>
          </cell>
        </row>
        <row r="43">
          <cell r="B43" t="str">
            <v>HSI Index</v>
          </cell>
          <cell r="C43">
            <v>25801.77</v>
          </cell>
        </row>
        <row r="44">
          <cell r="B44" t="str">
            <v>IBEX Index</v>
          </cell>
          <cell r="C44">
            <v>17158</v>
          </cell>
        </row>
        <row r="45">
          <cell r="B45" t="str">
            <v>AS51 Index</v>
          </cell>
          <cell r="C45">
            <v>8699.8989999999994</v>
          </cell>
        </row>
        <row r="46">
          <cell r="B46" t="str">
            <v>DAXEX GR Index</v>
          </cell>
          <cell r="C46">
            <v>201.15</v>
          </cell>
        </row>
        <row r="47">
          <cell r="B47" t="str">
            <v>IGBC Index</v>
          </cell>
          <cell r="C47" t="str">
            <v>#N/A N/A</v>
          </cell>
        </row>
        <row r="48">
          <cell r="B48" t="str">
            <v>WIG Index</v>
          </cell>
          <cell r="C48">
            <v>116571.8</v>
          </cell>
        </row>
        <row r="49">
          <cell r="B49" t="str">
            <v>PX Index</v>
          </cell>
          <cell r="C49">
            <v>2666.09</v>
          </cell>
        </row>
        <row r="50">
          <cell r="B50" t="str">
            <v>MICEX 10 Index</v>
          </cell>
          <cell r="C50" t="str">
            <v>#N/A Invalid Security</v>
          </cell>
        </row>
        <row r="51">
          <cell r="B51" t="str">
            <v>BUX Index</v>
          </cell>
          <cell r="C51">
            <v>110891</v>
          </cell>
        </row>
        <row r="52">
          <cell r="B52" t="str">
            <v>BBETINRM Index</v>
          </cell>
          <cell r="C52">
            <v>24046.73</v>
          </cell>
        </row>
        <row r="53">
          <cell r="B53" t="str">
            <v>PFTS Index</v>
          </cell>
          <cell r="C53">
            <v>458.79</v>
          </cell>
        </row>
        <row r="54">
          <cell r="B54" t="str">
            <v>SKSM Index</v>
          </cell>
          <cell r="C54">
            <v>291.66000000000003</v>
          </cell>
        </row>
        <row r="55">
          <cell r="B55" t="str">
            <v>CRO Index</v>
          </cell>
          <cell r="C55">
            <v>3815.37</v>
          </cell>
        </row>
        <row r="56">
          <cell r="B56" t="str">
            <v>SVSM Index</v>
          </cell>
          <cell r="C56" t="str">
            <v>#N/A N/A</v>
          </cell>
        </row>
        <row r="57">
          <cell r="B57" t="str">
            <v>XU100 Index</v>
          </cell>
          <cell r="C57">
            <v>11311.06</v>
          </cell>
        </row>
        <row r="58">
          <cell r="B58" t="str">
            <v>JALSH Index</v>
          </cell>
          <cell r="C58">
            <v>115909.6</v>
          </cell>
        </row>
        <row r="59">
          <cell r="B59" t="str">
            <v>IGPA Index</v>
          </cell>
          <cell r="C59">
            <v>52224.5</v>
          </cell>
        </row>
        <row r="60">
          <cell r="B60" t="str">
            <v>IBVC Index</v>
          </cell>
          <cell r="C60">
            <v>1548.78</v>
          </cell>
        </row>
        <row r="61">
          <cell r="B61" t="str">
            <v>IGBVL Index</v>
          </cell>
          <cell r="C61" t="str">
            <v>#N/A N/A</v>
          </cell>
        </row>
        <row r="62">
          <cell r="B62" t="str">
            <v>CRSMBCT Index</v>
          </cell>
          <cell r="C62">
            <v>11901.86</v>
          </cell>
        </row>
        <row r="63">
          <cell r="B63" t="str">
            <v>SHSZ300 Index</v>
          </cell>
          <cell r="C63">
            <v>4611.62</v>
          </cell>
        </row>
        <row r="64">
          <cell r="B64" t="str">
            <v>SENSEX Index</v>
          </cell>
          <cell r="C64">
            <v>85567.48</v>
          </cell>
        </row>
        <row r="65">
          <cell r="B65" t="str">
            <v>VIX Index</v>
          </cell>
          <cell r="C65">
            <v>14.08</v>
          </cell>
        </row>
        <row r="66">
          <cell r="B66" t="str">
            <v>SX5E Index</v>
          </cell>
          <cell r="C66">
            <v>5743.69</v>
          </cell>
        </row>
        <row r="67">
          <cell r="B67" t="str">
            <v>RTSI$ Index</v>
          </cell>
          <cell r="C67" t="str">
            <v>#N/A N/A</v>
          </cell>
        </row>
        <row r="68">
          <cell r="B68" t="str">
            <v>NIFTY Index</v>
          </cell>
          <cell r="C68">
            <v>26172.400000000001</v>
          </cell>
        </row>
        <row r="69">
          <cell r="B69" t="str">
            <v>BDIY Index</v>
          </cell>
          <cell r="C69">
            <v>2023</v>
          </cell>
        </row>
        <row r="70">
          <cell r="B70" t="str">
            <v>FTSEMIB Index</v>
          </cell>
          <cell r="C70">
            <v>44593.599999999999</v>
          </cell>
        </row>
        <row r="71">
          <cell r="B71" t="str">
            <v>RTY Index</v>
          </cell>
          <cell r="C71">
            <v>2558.7820000000002</v>
          </cell>
        </row>
        <row r="72">
          <cell r="B72" t="str">
            <v>MXWOSM Index</v>
          </cell>
          <cell r="C72">
            <v>2408.3000000000002</v>
          </cell>
        </row>
        <row r="73">
          <cell r="B73"/>
          <cell r="C73"/>
        </row>
        <row r="74">
          <cell r="B74" t="str">
            <v>IEI US Equity</v>
          </cell>
          <cell r="C74">
            <v>119.24</v>
          </cell>
        </row>
        <row r="75">
          <cell r="B75" t="str">
            <v>DVY US Equity</v>
          </cell>
          <cell r="C75">
            <v>142.37</v>
          </cell>
        </row>
        <row r="76">
          <cell r="B76" t="str">
            <v>ACWI US Equity</v>
          </cell>
          <cell r="C76">
            <v>141.74</v>
          </cell>
        </row>
        <row r="77">
          <cell r="B77" t="str">
            <v>ACWX US Equity</v>
          </cell>
          <cell r="C77">
            <v>66.739999999999995</v>
          </cell>
        </row>
        <row r="78">
          <cell r="B78" t="str">
            <v>VMEX MM Equity</v>
          </cell>
          <cell r="C78">
            <v>53.1</v>
          </cell>
        </row>
        <row r="79">
          <cell r="B79" t="str">
            <v>IB01 LN Equity</v>
          </cell>
          <cell r="C79">
            <v>118.74</v>
          </cell>
        </row>
        <row r="80">
          <cell r="B80" t="str">
            <v>SGOV US Equity</v>
          </cell>
          <cell r="C80">
            <v>100.28</v>
          </cell>
        </row>
        <row r="81">
          <cell r="B81"/>
          <cell r="C81"/>
        </row>
        <row r="82">
          <cell r="B82" t="str">
            <v>FEDL01 Index</v>
          </cell>
          <cell r="C82">
            <v>3.64</v>
          </cell>
        </row>
        <row r="83">
          <cell r="B83" t="str">
            <v>US00O/N Index</v>
          </cell>
          <cell r="C83">
            <v>5.0615699999999997</v>
          </cell>
        </row>
        <row r="84">
          <cell r="B84" t="str">
            <v>US0001W Index</v>
          </cell>
          <cell r="C84">
            <v>7.6380000000000003E-2</v>
          </cell>
        </row>
        <row r="85">
          <cell r="B85" t="str">
            <v>US0001M Index</v>
          </cell>
          <cell r="C85">
            <v>4.9601800000000003</v>
          </cell>
        </row>
        <row r="86">
          <cell r="B86" t="str">
            <v>US0002M Index</v>
          </cell>
          <cell r="C86">
            <v>0.1525</v>
          </cell>
        </row>
        <row r="87">
          <cell r="B87" t="str">
            <v>US0003M Index</v>
          </cell>
          <cell r="C87">
            <v>4.85372</v>
          </cell>
        </row>
        <row r="88">
          <cell r="B88" t="str">
            <v>US0006M Index</v>
          </cell>
          <cell r="C88">
            <v>4.6821299999999999</v>
          </cell>
        </row>
        <row r="89">
          <cell r="B89" t="str">
            <v>US0012M Index</v>
          </cell>
          <cell r="C89">
            <v>6.0414300000000001</v>
          </cell>
        </row>
        <row r="90">
          <cell r="B90" t="str">
            <v>GBM Govt</v>
          </cell>
          <cell r="C90">
            <v>3.5625</v>
          </cell>
        </row>
        <row r="91">
          <cell r="B91" t="str">
            <v>GB3 Govt</v>
          </cell>
          <cell r="C91">
            <v>3.5274999999999999</v>
          </cell>
        </row>
        <row r="92">
          <cell r="B92" t="str">
            <v>GB6 Govt</v>
          </cell>
          <cell r="C92">
            <v>3.4824999999999999</v>
          </cell>
        </row>
        <row r="93">
          <cell r="B93" t="str">
            <v>GB12 Govt</v>
          </cell>
          <cell r="C93">
            <v>3.3849999999999998</v>
          </cell>
        </row>
        <row r="94">
          <cell r="B94" t="str">
            <v>GT2 Govt</v>
          </cell>
          <cell r="C94">
            <v>99.75390625</v>
          </cell>
        </row>
        <row r="95">
          <cell r="B95" t="str">
            <v>GT3 Govt</v>
          </cell>
          <cell r="C95">
            <v>99.8515625</v>
          </cell>
        </row>
        <row r="96">
          <cell r="B96" t="str">
            <v>GT5 Govt</v>
          </cell>
          <cell r="C96">
            <v>99.046875</v>
          </cell>
        </row>
        <row r="97">
          <cell r="B97" t="str">
            <v>GT7 Govt</v>
          </cell>
          <cell r="C97">
            <v>98.953125</v>
          </cell>
        </row>
        <row r="98">
          <cell r="B98" t="str">
            <v>GT10 Govt</v>
          </cell>
          <cell r="C98">
            <v>98.6875</v>
          </cell>
        </row>
        <row r="99">
          <cell r="B99" t="str">
            <v>GT20 Govt</v>
          </cell>
          <cell r="C99">
            <v>97.890625</v>
          </cell>
        </row>
        <row r="100">
          <cell r="B100" t="str">
            <v>GT30 Govt</v>
          </cell>
          <cell r="C100">
            <v>96.671875</v>
          </cell>
        </row>
        <row r="101">
          <cell r="B101" t="str">
            <v>USGGT02Y Index</v>
          </cell>
          <cell r="C101">
            <v>1.1655</v>
          </cell>
        </row>
        <row r="102">
          <cell r="B102" t="str">
            <v>USGGT05Y Index</v>
          </cell>
          <cell r="C102">
            <v>1.4369000000000001</v>
          </cell>
        </row>
        <row r="103">
          <cell r="B103" t="str">
            <v>USGGT10Y Index</v>
          </cell>
          <cell r="C103">
            <v>1.9117999999999999</v>
          </cell>
        </row>
        <row r="104">
          <cell r="B104" t="str">
            <v>USGGT20Y Index</v>
          </cell>
          <cell r="C104">
            <v>2.5499000000000001</v>
          </cell>
        </row>
        <row r="105">
          <cell r="B105" t="str">
            <v>USGGT30Y Index</v>
          </cell>
          <cell r="C105">
            <v>2.6313</v>
          </cell>
        </row>
        <row r="106">
          <cell r="B106" t="str">
            <v>PRIMBB Index</v>
          </cell>
          <cell r="C106">
            <v>6.75</v>
          </cell>
        </row>
        <row r="107">
          <cell r="B107" t="str">
            <v>SOFRRATE Index</v>
          </cell>
          <cell r="C107">
            <v>3.66</v>
          </cell>
        </row>
        <row r="108">
          <cell r="B108" t="str">
            <v>SOFRINDX Index</v>
          </cell>
          <cell r="C108">
            <v>1.22531068</v>
          </cell>
        </row>
        <row r="109">
          <cell r="B109" t="str">
            <v>SPBDUB3T Index</v>
          </cell>
          <cell r="C109">
            <v>267.72699999999998</v>
          </cell>
        </row>
        <row r="110">
          <cell r="B110" t="str">
            <v>G0O14PM Index</v>
          </cell>
          <cell r="C110" t="str">
            <v>#N/A Invalid Security</v>
          </cell>
        </row>
        <row r="111">
          <cell r="B111"/>
          <cell r="C111"/>
        </row>
        <row r="112">
          <cell r="B112" t="str">
            <v>CRAMMMIX Index</v>
          </cell>
          <cell r="C112">
            <v>53.01</v>
          </cell>
        </row>
        <row r="113">
          <cell r="B113" t="str">
            <v>LACRISUS Index</v>
          </cell>
          <cell r="C113">
            <v>55.08</v>
          </cell>
        </row>
        <row r="114">
          <cell r="B114" t="str">
            <v>LACRMAUS Index</v>
          </cell>
          <cell r="C114">
            <v>51.53</v>
          </cell>
        </row>
        <row r="115">
          <cell r="B115" t="str">
            <v>LACROLUS Index</v>
          </cell>
          <cell r="C115">
            <v>57.68</v>
          </cell>
        </row>
        <row r="116">
          <cell r="B116" t="str">
            <v>CO1 Comdty</v>
          </cell>
          <cell r="C116">
            <v>61.980000000000004</v>
          </cell>
        </row>
        <row r="117">
          <cell r="B117" t="str">
            <v>USCRWTIC Index</v>
          </cell>
          <cell r="C117">
            <v>56.66</v>
          </cell>
        </row>
        <row r="118">
          <cell r="B118"/>
          <cell r="C118"/>
        </row>
        <row r="119">
          <cell r="B119" t="str">
            <v>GOLDS COMDTY</v>
          </cell>
          <cell r="C119">
            <v>4443.6000000000004</v>
          </cell>
        </row>
        <row r="120">
          <cell r="B120" t="str">
            <v>SILV COMDTY</v>
          </cell>
          <cell r="C120">
            <v>69.038200000000003</v>
          </cell>
        </row>
        <row r="121">
          <cell r="B121" t="str">
            <v>PLAT COMDTY</v>
          </cell>
          <cell r="C121">
            <v>2130.52</v>
          </cell>
        </row>
        <row r="122">
          <cell r="B122" t="str">
            <v>PALL COMDTY</v>
          </cell>
          <cell r="C122">
            <v>1781.55</v>
          </cell>
        </row>
        <row r="123">
          <cell r="B123" t="str">
            <v>HG1 COMDTY</v>
          </cell>
          <cell r="C123">
            <v>543.75</v>
          </cell>
        </row>
        <row r="124">
          <cell r="B124" t="str">
            <v>C 1 COMDTY</v>
          </cell>
          <cell r="C124">
            <v>447</v>
          </cell>
        </row>
        <row r="125">
          <cell r="B125" t="str">
            <v>W 1 COMDTY</v>
          </cell>
          <cell r="C125">
            <v>515.5</v>
          </cell>
        </row>
        <row r="126">
          <cell r="B126" t="str">
            <v>DA1 COMDTY</v>
          </cell>
          <cell r="C126">
            <v>15.77</v>
          </cell>
        </row>
        <row r="127">
          <cell r="B127" t="str">
            <v>RR1 Comdty</v>
          </cell>
          <cell r="C127">
            <v>9.84</v>
          </cell>
        </row>
        <row r="128">
          <cell r="B128" t="str">
            <v>NG1 COMDTY</v>
          </cell>
          <cell r="C128">
            <v>3.9650000000000003</v>
          </cell>
        </row>
        <row r="129">
          <cell r="B129" t="str">
            <v>CMCIPI Index</v>
          </cell>
          <cell r="C129">
            <v>1878.3620000000001</v>
          </cell>
        </row>
        <row r="130">
          <cell r="B130" t="str">
            <v>CRB CMDT INDEX</v>
          </cell>
          <cell r="C130">
            <v>540.54999999999995</v>
          </cell>
        </row>
        <row r="131">
          <cell r="B131" t="str">
            <v>USRFAP1A INDEX</v>
          </cell>
          <cell r="C131">
            <v>2.96</v>
          </cell>
        </row>
        <row r="132">
          <cell r="B132" t="str">
            <v>S H0 COMB COMDTY</v>
          </cell>
          <cell r="C132" t="str">
            <v>#N/A Invalid Security</v>
          </cell>
        </row>
        <row r="133">
          <cell r="B133" t="str">
            <v>CTH1 COMDTY</v>
          </cell>
          <cell r="C133" t="str">
            <v>#N/A Invalid Security</v>
          </cell>
        </row>
        <row r="134">
          <cell r="B134"/>
          <cell r="C134"/>
        </row>
        <row r="135">
          <cell r="B135" t="str">
            <v>USDEUR Curncy</v>
          </cell>
          <cell r="C135">
            <v>0.85040000000000004</v>
          </cell>
        </row>
        <row r="136">
          <cell r="B136" t="str">
            <v>USDAUD Curncy</v>
          </cell>
          <cell r="C136">
            <v>1.5021</v>
          </cell>
        </row>
        <row r="137">
          <cell r="B137" t="str">
            <v>USDJPY Curncy</v>
          </cell>
          <cell r="C137">
            <v>157.04</v>
          </cell>
        </row>
        <row r="138">
          <cell r="B138" t="str">
            <v>USDGBP Curncy</v>
          </cell>
          <cell r="C138">
            <v>0.7429</v>
          </cell>
        </row>
        <row r="139">
          <cell r="B139" t="str">
            <v>USDCHF Curncy</v>
          </cell>
          <cell r="C139">
            <v>0.79200000000000004</v>
          </cell>
        </row>
        <row r="140">
          <cell r="B140" t="str">
            <v>USTWBROA Index</v>
          </cell>
          <cell r="C140">
            <v>128.00970000000001</v>
          </cell>
        </row>
        <row r="141">
          <cell r="B141" t="str">
            <v>DXY Curncy</v>
          </cell>
          <cell r="C141">
            <v>98.271000000000001</v>
          </cell>
        </row>
        <row r="142">
          <cell r="B142" t="str">
            <v>C80410Y Index</v>
          </cell>
          <cell r="C142" t="str">
            <v>#N/A N/A</v>
          </cell>
        </row>
        <row r="143">
          <cell r="B143" t="str">
            <v>GTMXN10Y Govt</v>
          </cell>
          <cell r="C143">
            <v>92.189961980000007</v>
          </cell>
        </row>
        <row r="144">
          <cell r="B144"/>
          <cell r="C144"/>
        </row>
        <row r="145">
          <cell r="B145" t="str">
            <v>SPY US Equity</v>
          </cell>
          <cell r="C145">
            <v>684.83</v>
          </cell>
        </row>
        <row r="146">
          <cell r="B146" t="str">
            <v>XLV US Equity</v>
          </cell>
          <cell r="C146">
            <v>155.30000000000001</v>
          </cell>
        </row>
        <row r="147">
          <cell r="B147" t="str">
            <v>XBI US Equity</v>
          </cell>
          <cell r="C147">
            <v>125.91</v>
          </cell>
        </row>
        <row r="148">
          <cell r="B148" t="str">
            <v>IWM US Equity</v>
          </cell>
          <cell r="C148">
            <v>253.58</v>
          </cell>
        </row>
        <row r="149">
          <cell r="B149" t="str">
            <v>QQQ US Equity</v>
          </cell>
          <cell r="C149">
            <v>619.21</v>
          </cell>
        </row>
        <row r="150">
          <cell r="B150" t="str">
            <v>QLD US Equity</v>
          </cell>
          <cell r="C150">
            <v>71.67</v>
          </cell>
        </row>
        <row r="151">
          <cell r="B151" t="str">
            <v>XLF US Equity</v>
          </cell>
          <cell r="C151">
            <v>55.32</v>
          </cell>
        </row>
        <row r="152">
          <cell r="B152" t="str">
            <v>FAS US Equity</v>
          </cell>
          <cell r="C152">
            <v>174.41</v>
          </cell>
        </row>
        <row r="153">
          <cell r="B153" t="str">
            <v>XLY US Equity</v>
          </cell>
          <cell r="C153">
            <v>122.34</v>
          </cell>
        </row>
        <row r="154">
          <cell r="B154" t="str">
            <v>HACK US Equity</v>
          </cell>
          <cell r="C154">
            <v>82.37</v>
          </cell>
        </row>
        <row r="155">
          <cell r="B155" t="str">
            <v>SHY US Equity</v>
          </cell>
          <cell r="C155">
            <v>82.72</v>
          </cell>
        </row>
        <row r="156">
          <cell r="B156" t="str">
            <v>SHv US Equity</v>
          </cell>
          <cell r="C156">
            <v>110.04</v>
          </cell>
        </row>
        <row r="157">
          <cell r="B157" t="str">
            <v>IEF US Equity</v>
          </cell>
          <cell r="C157">
            <v>96.14</v>
          </cell>
        </row>
        <row r="158">
          <cell r="B158" t="str">
            <v>AGG US Equity</v>
          </cell>
          <cell r="C158">
            <v>99.8</v>
          </cell>
        </row>
        <row r="159">
          <cell r="B159" t="str">
            <v>IBND US Equity</v>
          </cell>
          <cell r="C159">
            <v>32.08</v>
          </cell>
        </row>
        <row r="160">
          <cell r="B160" t="str">
            <v>CSJ US Equity</v>
          </cell>
          <cell r="C160" t="str">
            <v>#N/A N/A</v>
          </cell>
        </row>
        <row r="161">
          <cell r="B161" t="str">
            <v>CIU US Equity</v>
          </cell>
          <cell r="C161" t="str">
            <v>#N/A N/A</v>
          </cell>
        </row>
        <row r="162">
          <cell r="B162" t="str">
            <v>NAFTRAC MM Equity</v>
          </cell>
          <cell r="C162">
            <v>64.98</v>
          </cell>
        </row>
        <row r="163">
          <cell r="B163" t="str">
            <v>IDCOTSTR Index</v>
          </cell>
          <cell r="C163">
            <v>124.443</v>
          </cell>
        </row>
        <row r="164">
          <cell r="B164" t="str">
            <v>DVY* MM Equity</v>
          </cell>
          <cell r="C164">
            <v>2550</v>
          </cell>
        </row>
        <row r="165">
          <cell r="B165" t="str">
            <v>SPY* MM Equity</v>
          </cell>
          <cell r="C165">
            <v>12314.4</v>
          </cell>
        </row>
        <row r="166">
          <cell r="B166" t="str">
            <v>SHV* MM Equity</v>
          </cell>
          <cell r="C166">
            <v>1978.44</v>
          </cell>
        </row>
        <row r="167">
          <cell r="B167" t="str">
            <v>SHY* MM Equity</v>
          </cell>
          <cell r="C167">
            <v>1488</v>
          </cell>
        </row>
        <row r="168">
          <cell r="B168" t="str">
            <v>HEDJ* MM EQUITY</v>
          </cell>
          <cell r="C168">
            <v>951</v>
          </cell>
        </row>
        <row r="169">
          <cell r="B169" t="str">
            <v>ACWI* MM EQUITY</v>
          </cell>
          <cell r="C169">
            <v>2546</v>
          </cell>
        </row>
        <row r="170">
          <cell r="B170" t="str">
            <v>HEWJ* MM EQUITY</v>
          </cell>
          <cell r="C170">
            <v>978.18</v>
          </cell>
        </row>
        <row r="171">
          <cell r="B171" t="str">
            <v>AAXJ* MM EQUITY</v>
          </cell>
          <cell r="C171">
            <v>1646.82</v>
          </cell>
        </row>
        <row r="172">
          <cell r="B172" t="str">
            <v>QQQ* MM EQUITY</v>
          </cell>
          <cell r="C172">
            <v>11136.76</v>
          </cell>
        </row>
        <row r="173">
          <cell r="B173" t="str">
            <v>EEM* MM EQUITY</v>
          </cell>
          <cell r="C173">
            <v>971.5</v>
          </cell>
        </row>
        <row r="174">
          <cell r="B174" t="str">
            <v>IJH* MM EQUITY</v>
          </cell>
          <cell r="C174">
            <v>1213</v>
          </cell>
        </row>
        <row r="175">
          <cell r="B175" t="str">
            <v>ILF* MM EQUITY</v>
          </cell>
          <cell r="C175">
            <v>542.64</v>
          </cell>
        </row>
        <row r="176">
          <cell r="B176" t="str">
            <v>IJR* MM EQUITY</v>
          </cell>
          <cell r="C176">
            <v>2200</v>
          </cell>
        </row>
        <row r="177">
          <cell r="B177" t="str">
            <v>FDN* MM EQUITY</v>
          </cell>
          <cell r="C177">
            <v>4915.25</v>
          </cell>
        </row>
        <row r="178">
          <cell r="B178" t="str">
            <v>DIA* MM EQUITY</v>
          </cell>
          <cell r="C178">
            <v>8700</v>
          </cell>
        </row>
        <row r="179">
          <cell r="B179" t="str">
            <v>IXN* MM EQUITY</v>
          </cell>
          <cell r="C179">
            <v>1925</v>
          </cell>
        </row>
        <row r="180">
          <cell r="B180" t="str">
            <v>FVD* MM EQUITY</v>
          </cell>
          <cell r="C180">
            <v>854</v>
          </cell>
        </row>
        <row r="181">
          <cell r="B181" t="str">
            <v>UCAPN MM EQUITY</v>
          </cell>
          <cell r="C181">
            <v>29427.09</v>
          </cell>
        </row>
        <row r="182">
          <cell r="B182" t="str">
            <v>ACWV* MM EQUITY</v>
          </cell>
          <cell r="C182">
            <v>2195</v>
          </cell>
        </row>
        <row r="183">
          <cell r="B183" t="str">
            <v>EUSC* MM EQUITY</v>
          </cell>
          <cell r="C183">
            <v>698.09</v>
          </cell>
        </row>
        <row r="184">
          <cell r="B184" t="str">
            <v>DXJS* MM EQUITY</v>
          </cell>
          <cell r="C184" t="str">
            <v>#N/A N/A</v>
          </cell>
        </row>
        <row r="185">
          <cell r="B185" t="str">
            <v>EZU* EQUITY</v>
          </cell>
          <cell r="C185">
            <v>1151</v>
          </cell>
        </row>
        <row r="186">
          <cell r="B186" t="str">
            <v>FDN US EQUITY</v>
          </cell>
          <cell r="C186">
            <v>271.61</v>
          </cell>
        </row>
        <row r="187">
          <cell r="B187" t="str">
            <v>DIA US EQUITY</v>
          </cell>
          <cell r="C187">
            <v>483.46</v>
          </cell>
        </row>
        <row r="188">
          <cell r="B188" t="str">
            <v>IXN US EQUITY</v>
          </cell>
          <cell r="C188">
            <v>104.72</v>
          </cell>
        </row>
        <row r="189">
          <cell r="B189" t="str">
            <v>FVD US EQUITY</v>
          </cell>
          <cell r="C189">
            <v>46.23</v>
          </cell>
        </row>
        <row r="190">
          <cell r="B190" t="str">
            <v>UCAP LN EQUITY</v>
          </cell>
          <cell r="C190">
            <v>1634.8</v>
          </cell>
        </row>
        <row r="191">
          <cell r="B191" t="str">
            <v>ACWV US EQUITY</v>
          </cell>
          <cell r="C191">
            <v>118.92</v>
          </cell>
        </row>
        <row r="192">
          <cell r="B192" t="str">
            <v>AAXJ US EQUITY</v>
          </cell>
          <cell r="C192">
            <v>91.86</v>
          </cell>
        </row>
        <row r="193">
          <cell r="B193" t="str">
            <v>EEM US EQUITY</v>
          </cell>
          <cell r="C193">
            <v>54.01</v>
          </cell>
        </row>
        <row r="194">
          <cell r="B194" t="str">
            <v>OPPE US EQUITY</v>
          </cell>
          <cell r="C194">
            <v>51.19</v>
          </cell>
        </row>
        <row r="195">
          <cell r="B195" t="str">
            <v>HEDJ US EQUITY</v>
          </cell>
          <cell r="C195">
            <v>52.56</v>
          </cell>
        </row>
        <row r="196">
          <cell r="B196" t="str">
            <v>ILF US EQUITY</v>
          </cell>
          <cell r="C196">
            <v>30.32</v>
          </cell>
        </row>
        <row r="197">
          <cell r="B197" t="str">
            <v>HEWJ US EQUITY</v>
          </cell>
          <cell r="C197">
            <v>54.45</v>
          </cell>
        </row>
        <row r="198">
          <cell r="B198" t="str">
            <v>OPPJ US EQUITY</v>
          </cell>
          <cell r="C198">
            <v>46.2</v>
          </cell>
        </row>
        <row r="199">
          <cell r="B199" t="str">
            <v>RGCTIUS LX EQUITY</v>
          </cell>
          <cell r="C199">
            <v>361.57</v>
          </cell>
        </row>
        <row r="200">
          <cell r="B200" t="str">
            <v>GAGLFDA LX EQUITY</v>
          </cell>
          <cell r="C200">
            <v>26.1858</v>
          </cell>
        </row>
        <row r="201">
          <cell r="B201" t="str">
            <v>MFSVAL1 LX EQUITY</v>
          </cell>
          <cell r="C201">
            <v>47.35</v>
          </cell>
        </row>
        <row r="202">
          <cell r="B202" t="str">
            <v>SGMUCGI ID EQUITY</v>
          </cell>
          <cell r="C202">
            <v>40.994300000000003</v>
          </cell>
        </row>
        <row r="203">
          <cell r="B203" t="str">
            <v>SCHUMAC LX EQUITY</v>
          </cell>
          <cell r="C203">
            <v>577.68809999999996</v>
          </cell>
        </row>
        <row r="204">
          <cell r="B204" t="str">
            <v>MORGBRI LX EQUITY</v>
          </cell>
          <cell r="C204">
            <v>263.95999999999998</v>
          </cell>
        </row>
        <row r="205">
          <cell r="B205" t="str">
            <v>SCHPFCA LX EQUITY</v>
          </cell>
          <cell r="C205">
            <v>37.937399999999997</v>
          </cell>
        </row>
        <row r="206">
          <cell r="B206" t="str">
            <v>VOEMEU1 LX Equity</v>
          </cell>
          <cell r="C206">
            <v>110.97</v>
          </cell>
        </row>
        <row r="207">
          <cell r="B207" t="str">
            <v>DNCEGHI LX Equity</v>
          </cell>
          <cell r="C207">
            <v>219.24</v>
          </cell>
        </row>
        <row r="208">
          <cell r="B208" t="str">
            <v>IGSFPHD LX Equity</v>
          </cell>
          <cell r="C208" t="str">
            <v>#N/A N/A</v>
          </cell>
        </row>
        <row r="209">
          <cell r="B209" t="str">
            <v>ALAMEI2 LX Equity</v>
          </cell>
          <cell r="C209" t="str">
            <v>#N/A N/A</v>
          </cell>
        </row>
        <row r="210">
          <cell r="B210" t="str">
            <v>SCJAHAU LX Equity</v>
          </cell>
          <cell r="C210">
            <v>45.522300000000001</v>
          </cell>
        </row>
        <row r="211">
          <cell r="B211" t="str">
            <v>TEMCACU LX Equity</v>
          </cell>
          <cell r="C211">
            <v>16.649999999999999</v>
          </cell>
        </row>
        <row r="212">
          <cell r="B212" t="str">
            <v>EWZ US EQUITY</v>
          </cell>
          <cell r="C212">
            <v>30.97</v>
          </cell>
        </row>
        <row r="213">
          <cell r="B213"/>
          <cell r="C213"/>
        </row>
        <row r="214">
          <cell r="B214" t="str">
            <v>EMB US Equity</v>
          </cell>
          <cell r="C214">
            <v>96.31</v>
          </cell>
        </row>
        <row r="215">
          <cell r="B215" t="str">
            <v>HYG US Equity</v>
          </cell>
          <cell r="C215">
            <v>80.430000000000007</v>
          </cell>
        </row>
        <row r="216">
          <cell r="B216" t="str">
            <v>LQD US Equity</v>
          </cell>
          <cell r="C216">
            <v>110.11</v>
          </cell>
        </row>
        <row r="217">
          <cell r="B217" t="str">
            <v>CNY Curncy</v>
          </cell>
          <cell r="C217">
            <v>7.0369999999999999</v>
          </cell>
        </row>
        <row r="218">
          <cell r="B218" t="str">
            <v>CLP Curncy</v>
          </cell>
          <cell r="C218">
            <v>909.25</v>
          </cell>
        </row>
        <row r="219">
          <cell r="B219" t="str">
            <v>KRW Curncy</v>
          </cell>
          <cell r="C219">
            <v>1480.7</v>
          </cell>
        </row>
        <row r="220">
          <cell r="B220" t="str">
            <v>INR Curncy</v>
          </cell>
          <cell r="C220">
            <v>89.653700000000001</v>
          </cell>
        </row>
        <row r="221">
          <cell r="B221" t="str">
            <v>PEN Curncy</v>
          </cell>
          <cell r="C221">
            <v>3.3675000000000002</v>
          </cell>
        </row>
        <row r="222">
          <cell r="B222" t="str">
            <v>COP Curncy</v>
          </cell>
          <cell r="C222">
            <v>3783.35</v>
          </cell>
        </row>
        <row r="223">
          <cell r="B223" t="str">
            <v>TRY Curncy</v>
          </cell>
          <cell r="C223">
            <v>42.823799999999999</v>
          </cell>
        </row>
        <row r="224">
          <cell r="B224" t="str">
            <v>RUB Curncy</v>
          </cell>
          <cell r="C224">
            <v>118.6895</v>
          </cell>
        </row>
        <row r="225">
          <cell r="B225" t="str">
            <v>MXN Curncy</v>
          </cell>
          <cell r="C225">
            <v>17.976500000000001</v>
          </cell>
        </row>
        <row r="226">
          <cell r="B226" t="str">
            <v>ARS Curncy</v>
          </cell>
          <cell r="C226">
            <v>1451.115</v>
          </cell>
        </row>
        <row r="227">
          <cell r="B227" t="str">
            <v>ZAR Curncy</v>
          </cell>
          <cell r="C227">
            <v>16.714099999999998</v>
          </cell>
        </row>
        <row r="228">
          <cell r="B228" t="str">
            <v>BRL Curncy</v>
          </cell>
          <cell r="C228">
            <v>5.5914999999999999</v>
          </cell>
        </row>
        <row r="229">
          <cell r="B229" t="str">
            <v>EURR002W Index</v>
          </cell>
          <cell r="C229">
            <v>2.15</v>
          </cell>
        </row>
        <row r="230">
          <cell r="B230" t="str">
            <v>CABROVER Index</v>
          </cell>
          <cell r="C230">
            <v>2.25</v>
          </cell>
        </row>
        <row r="231">
          <cell r="B231" t="str">
            <v>UKBRBASE Index</v>
          </cell>
          <cell r="C231">
            <v>3.75</v>
          </cell>
        </row>
        <row r="232">
          <cell r="B232" t="str">
            <v>FDTR Index</v>
          </cell>
          <cell r="C232">
            <v>3.75</v>
          </cell>
        </row>
        <row r="233">
          <cell r="B233" t="str">
            <v>SZLTDEP Index</v>
          </cell>
          <cell r="C233">
            <v>0</v>
          </cell>
        </row>
        <row r="234">
          <cell r="B234" t="str">
            <v>BOJDPBAL Index</v>
          </cell>
          <cell r="C234">
            <v>0.75</v>
          </cell>
        </row>
        <row r="235">
          <cell r="B235" t="str">
            <v>MXONBR Index</v>
          </cell>
          <cell r="C235">
            <v>7</v>
          </cell>
        </row>
        <row r="236">
          <cell r="B236" t="str">
            <v>RREFKANN Index</v>
          </cell>
          <cell r="C236">
            <v>16</v>
          </cell>
        </row>
        <row r="237">
          <cell r="B237" t="str">
            <v>INRPYLDP Index</v>
          </cell>
          <cell r="C237">
            <v>5.25</v>
          </cell>
        </row>
        <row r="238">
          <cell r="B238" t="str">
            <v>CORRRMIN Index</v>
          </cell>
          <cell r="C238">
            <v>9.25</v>
          </cell>
        </row>
        <row r="239">
          <cell r="B239" t="str">
            <v>BZSTSETA Index</v>
          </cell>
          <cell r="C239">
            <v>15</v>
          </cell>
        </row>
        <row r="240">
          <cell r="B240" t="str">
            <v>CHOVCHOV Index</v>
          </cell>
          <cell r="C240">
            <v>4.5</v>
          </cell>
        </row>
        <row r="241">
          <cell r="B241" t="str">
            <v>PRRRONUS Index</v>
          </cell>
          <cell r="C241">
            <v>4.25</v>
          </cell>
        </row>
        <row r="242">
          <cell r="B242" t="str">
            <v>BV3M0804 BVLI Index</v>
          </cell>
          <cell r="C242">
            <v>4.3154587745666504</v>
          </cell>
        </row>
        <row r="243">
          <cell r="B243" t="str">
            <v>BV6M0804 BVLI Index</v>
          </cell>
          <cell r="C243">
            <v>4.2998199462890625</v>
          </cell>
        </row>
        <row r="244">
          <cell r="B244" t="str">
            <v>BV010804 BVLI Index</v>
          </cell>
          <cell r="C244">
            <v>4.245574951171875</v>
          </cell>
        </row>
        <row r="245">
          <cell r="B245" t="str">
            <v>BV020804 BVLI Index</v>
          </cell>
          <cell r="C245">
            <v>4.2668027877807617</v>
          </cell>
        </row>
        <row r="246">
          <cell r="B246" t="str">
            <v>BV050804 BVLI Index</v>
          </cell>
          <cell r="C246">
            <v>4.9024310111999512</v>
          </cell>
        </row>
        <row r="247">
          <cell r="B247" t="str">
            <v>BV100804 BVLI Index</v>
          </cell>
          <cell r="C247">
            <v>5.7807588577270508</v>
          </cell>
        </row>
        <row r="248">
          <cell r="B248" t="str">
            <v>BV200804 BVLI Index</v>
          </cell>
          <cell r="C248">
            <v>6.4052081108093262</v>
          </cell>
        </row>
        <row r="249">
          <cell r="B249" t="str">
            <v>BV300804 BVLI Index</v>
          </cell>
          <cell r="C249">
            <v>6.6978898048400879</v>
          </cell>
        </row>
        <row r="250">
          <cell r="B250"/>
          <cell r="C250"/>
        </row>
        <row r="251">
          <cell r="B251" t="str">
            <v>USGGBE01 Index</v>
          </cell>
          <cell r="C251">
            <v>2.3035999999999999</v>
          </cell>
        </row>
        <row r="252">
          <cell r="B252" t="str">
            <v>USGGBE02 Index</v>
          </cell>
          <cell r="C252">
            <v>2.3216999999999999</v>
          </cell>
        </row>
        <row r="253">
          <cell r="B253" t="str">
            <v>USGGBE03 Index</v>
          </cell>
          <cell r="C253">
            <v>2.2797999999999998</v>
          </cell>
        </row>
        <row r="254">
          <cell r="B254" t="str">
            <v>USGGBE05 Index</v>
          </cell>
          <cell r="C254">
            <v>2.2648000000000001</v>
          </cell>
        </row>
        <row r="255">
          <cell r="B255" t="str">
            <v>USGGBE07 Index</v>
          </cell>
          <cell r="C255">
            <v>2.2907000000000002</v>
          </cell>
        </row>
        <row r="256">
          <cell r="B256" t="str">
            <v>USGGBE10 Index</v>
          </cell>
          <cell r="C256">
            <v>2.2271999999999998</v>
          </cell>
        </row>
        <row r="257">
          <cell r="B257" t="str">
            <v>USGGBE20 Index</v>
          </cell>
          <cell r="C257">
            <v>2.2968000000000002</v>
          </cell>
        </row>
        <row r="258">
          <cell r="B258" t="str">
            <v>USGGBE30 Index</v>
          </cell>
          <cell r="C258">
            <v>2.2054999999999998</v>
          </cell>
        </row>
        <row r="259">
          <cell r="B259"/>
          <cell r="C259"/>
        </row>
        <row r="260">
          <cell r="B260" t="str">
            <v>SPVFURT Index</v>
          </cell>
          <cell r="C260">
            <v>534.03489999999999</v>
          </cell>
        </row>
        <row r="261">
          <cell r="B261" t="str">
            <v>SPVMBNS Index</v>
          </cell>
          <cell r="C261">
            <v>853.14700000000005</v>
          </cell>
        </row>
        <row r="262">
          <cell r="B262" t="str">
            <v>SPVIFUB Index</v>
          </cell>
          <cell r="C262">
            <v>882.88869999999997</v>
          </cell>
        </row>
        <row r="263">
          <cell r="B263" t="str">
            <v>SPVCP3A Index</v>
          </cell>
          <cell r="C263">
            <v>842.7989</v>
          </cell>
        </row>
        <row r="264">
          <cell r="B264"/>
          <cell r="C264"/>
        </row>
        <row r="265">
          <cell r="B265"/>
          <cell r="C265"/>
        </row>
        <row r="266">
          <cell r="B266"/>
          <cell r="C266"/>
        </row>
        <row r="267">
          <cell r="B267"/>
          <cell r="C267"/>
        </row>
        <row r="268">
          <cell r="B268"/>
          <cell r="C268"/>
        </row>
        <row r="269">
          <cell r="B269"/>
          <cell r="C269"/>
        </row>
        <row r="270">
          <cell r="B270"/>
          <cell r="C270"/>
        </row>
        <row r="271">
          <cell r="B271"/>
          <cell r="C271"/>
        </row>
        <row r="272">
          <cell r="B272"/>
          <cell r="C272"/>
        </row>
        <row r="273">
          <cell r="B273"/>
          <cell r="C273"/>
        </row>
        <row r="274">
          <cell r="B274"/>
          <cell r="C274"/>
        </row>
        <row r="275">
          <cell r="B275"/>
          <cell r="C275"/>
        </row>
        <row r="276">
          <cell r="B276"/>
          <cell r="C276"/>
        </row>
        <row r="277">
          <cell r="B277"/>
          <cell r="C277"/>
        </row>
        <row r="278">
          <cell r="B278"/>
          <cell r="C278"/>
        </row>
        <row r="279">
          <cell r="B279"/>
          <cell r="C279"/>
        </row>
        <row r="280">
          <cell r="B280"/>
          <cell r="C280"/>
        </row>
        <row r="281">
          <cell r="B281"/>
          <cell r="C281"/>
        </row>
        <row r="282">
          <cell r="B282"/>
          <cell r="C282"/>
        </row>
        <row r="283">
          <cell r="B283"/>
          <cell r="C283"/>
        </row>
        <row r="284">
          <cell r="B284"/>
          <cell r="C284"/>
        </row>
        <row r="285">
          <cell r="B285"/>
          <cell r="C285"/>
        </row>
        <row r="286">
          <cell r="B286"/>
          <cell r="C286"/>
        </row>
        <row r="287">
          <cell r="B287"/>
          <cell r="C287"/>
        </row>
        <row r="288">
          <cell r="B288"/>
          <cell r="C288"/>
        </row>
        <row r="289">
          <cell r="B289"/>
          <cell r="C289"/>
        </row>
        <row r="290">
          <cell r="B290"/>
          <cell r="C290"/>
        </row>
        <row r="291">
          <cell r="B291"/>
          <cell r="C291"/>
        </row>
        <row r="292">
          <cell r="B292"/>
          <cell r="C292"/>
        </row>
        <row r="293">
          <cell r="B293"/>
          <cell r="C293"/>
        </row>
        <row r="294">
          <cell r="B294"/>
          <cell r="C294"/>
        </row>
        <row r="295">
          <cell r="B295"/>
          <cell r="C295"/>
        </row>
        <row r="296">
          <cell r="B296"/>
          <cell r="C296"/>
        </row>
        <row r="297">
          <cell r="B297"/>
          <cell r="C297"/>
        </row>
        <row r="298">
          <cell r="B298"/>
          <cell r="C298"/>
        </row>
        <row r="299">
          <cell r="B299"/>
          <cell r="C299"/>
        </row>
        <row r="300">
          <cell r="B300"/>
          <cell r="C300"/>
        </row>
        <row r="301">
          <cell r="B301"/>
          <cell r="C301"/>
        </row>
        <row r="302">
          <cell r="B302"/>
          <cell r="C302"/>
        </row>
        <row r="303">
          <cell r="B303"/>
          <cell r="C303"/>
        </row>
        <row r="304">
          <cell r="B304"/>
          <cell r="C304"/>
        </row>
        <row r="305">
          <cell r="B305"/>
          <cell r="C305"/>
        </row>
        <row r="306">
          <cell r="B306"/>
          <cell r="C306"/>
        </row>
        <row r="307">
          <cell r="B307"/>
          <cell r="C307"/>
        </row>
        <row r="308">
          <cell r="B308"/>
          <cell r="C308"/>
        </row>
        <row r="309">
          <cell r="B309"/>
          <cell r="C309"/>
        </row>
        <row r="310">
          <cell r="B310"/>
          <cell r="C310"/>
        </row>
        <row r="311">
          <cell r="B311"/>
          <cell r="C311"/>
        </row>
        <row r="312">
          <cell r="B312"/>
          <cell r="C312"/>
        </row>
        <row r="313">
          <cell r="B313"/>
          <cell r="C313"/>
        </row>
        <row r="314">
          <cell r="B314"/>
          <cell r="C314"/>
        </row>
        <row r="315">
          <cell r="B315"/>
          <cell r="C315"/>
        </row>
        <row r="316">
          <cell r="B316"/>
          <cell r="C316"/>
        </row>
        <row r="317">
          <cell r="B317"/>
          <cell r="C317"/>
        </row>
        <row r="318">
          <cell r="B318"/>
          <cell r="C318"/>
        </row>
        <row r="319">
          <cell r="B319"/>
          <cell r="C319"/>
        </row>
        <row r="320">
          <cell r="B320"/>
          <cell r="C320"/>
        </row>
        <row r="321">
          <cell r="B321"/>
          <cell r="C321"/>
        </row>
        <row r="322">
          <cell r="B322"/>
          <cell r="C322"/>
        </row>
        <row r="323">
          <cell r="B323"/>
          <cell r="C323"/>
        </row>
        <row r="324">
          <cell r="B324"/>
          <cell r="C324"/>
        </row>
        <row r="325">
          <cell r="B325"/>
          <cell r="C325"/>
        </row>
        <row r="326">
          <cell r="B326"/>
          <cell r="C326"/>
        </row>
        <row r="327">
          <cell r="B327"/>
          <cell r="C327"/>
        </row>
        <row r="328">
          <cell r="B328"/>
          <cell r="C328"/>
        </row>
        <row r="329">
          <cell r="B329"/>
          <cell r="C329"/>
        </row>
        <row r="330">
          <cell r="B330"/>
          <cell r="C330"/>
        </row>
        <row r="331">
          <cell r="B331"/>
          <cell r="C331"/>
        </row>
        <row r="332">
          <cell r="B332"/>
          <cell r="C332"/>
        </row>
        <row r="333">
          <cell r="B333"/>
          <cell r="C333"/>
        </row>
        <row r="334">
          <cell r="B334"/>
          <cell r="C334"/>
        </row>
        <row r="335">
          <cell r="B335"/>
          <cell r="C335"/>
        </row>
        <row r="336">
          <cell r="B336"/>
          <cell r="C336"/>
        </row>
        <row r="337">
          <cell r="B337"/>
          <cell r="C337"/>
        </row>
        <row r="338">
          <cell r="B338"/>
          <cell r="C338"/>
        </row>
        <row r="339">
          <cell r="B339"/>
          <cell r="C339"/>
        </row>
        <row r="340">
          <cell r="B340"/>
          <cell r="C340"/>
        </row>
        <row r="341">
          <cell r="B341"/>
          <cell r="C341"/>
        </row>
        <row r="342">
          <cell r="B342"/>
          <cell r="C342"/>
        </row>
        <row r="343">
          <cell r="B343"/>
          <cell r="C343"/>
        </row>
        <row r="344">
          <cell r="B344"/>
          <cell r="C344"/>
        </row>
        <row r="345">
          <cell r="B345"/>
          <cell r="C345"/>
        </row>
        <row r="346">
          <cell r="B346"/>
          <cell r="C346"/>
        </row>
        <row r="347">
          <cell r="B347"/>
          <cell r="C347"/>
        </row>
        <row r="348">
          <cell r="B348"/>
          <cell r="C348"/>
        </row>
        <row r="349">
          <cell r="B349"/>
          <cell r="C349"/>
        </row>
        <row r="350">
          <cell r="B350"/>
          <cell r="C350"/>
        </row>
        <row r="351">
          <cell r="B351"/>
          <cell r="C351"/>
        </row>
        <row r="352">
          <cell r="B352"/>
          <cell r="C352"/>
        </row>
        <row r="353">
          <cell r="B353"/>
          <cell r="C353"/>
        </row>
        <row r="354">
          <cell r="B354"/>
          <cell r="C354"/>
        </row>
        <row r="355">
          <cell r="B355"/>
          <cell r="C355"/>
        </row>
        <row r="356">
          <cell r="B356"/>
          <cell r="C356"/>
        </row>
        <row r="357">
          <cell r="B357"/>
          <cell r="C357"/>
        </row>
        <row r="358">
          <cell r="B358"/>
          <cell r="C358"/>
        </row>
        <row r="359">
          <cell r="B359"/>
          <cell r="C359"/>
        </row>
        <row r="360">
          <cell r="B360"/>
          <cell r="C360"/>
        </row>
        <row r="361">
          <cell r="B361"/>
          <cell r="C361"/>
        </row>
        <row r="362">
          <cell r="B362"/>
          <cell r="C362"/>
        </row>
        <row r="363">
          <cell r="B363"/>
          <cell r="C363"/>
        </row>
        <row r="364">
          <cell r="B364"/>
          <cell r="C364"/>
        </row>
        <row r="365">
          <cell r="B365"/>
          <cell r="C365"/>
        </row>
        <row r="366">
          <cell r="B366"/>
          <cell r="C366"/>
        </row>
        <row r="367">
          <cell r="B367"/>
          <cell r="C367"/>
        </row>
        <row r="368">
          <cell r="B368"/>
          <cell r="C368"/>
        </row>
        <row r="369">
          <cell r="B369"/>
          <cell r="C369"/>
        </row>
        <row r="370">
          <cell r="B370"/>
          <cell r="C370"/>
        </row>
        <row r="371">
          <cell r="B371"/>
          <cell r="C371"/>
        </row>
        <row r="372">
          <cell r="B372"/>
          <cell r="C372"/>
        </row>
        <row r="373">
          <cell r="B373"/>
          <cell r="C373"/>
        </row>
        <row r="374">
          <cell r="B374"/>
          <cell r="C374"/>
        </row>
        <row r="375">
          <cell r="B375"/>
          <cell r="C375"/>
        </row>
        <row r="376">
          <cell r="B376"/>
          <cell r="C376"/>
        </row>
        <row r="377">
          <cell r="B377"/>
          <cell r="C377"/>
        </row>
        <row r="378">
          <cell r="B378"/>
          <cell r="C378"/>
        </row>
        <row r="379">
          <cell r="B379"/>
          <cell r="C379"/>
        </row>
        <row r="380">
          <cell r="B380"/>
          <cell r="C380"/>
        </row>
        <row r="381">
          <cell r="B381"/>
          <cell r="C381"/>
        </row>
        <row r="382">
          <cell r="B382"/>
          <cell r="C382"/>
        </row>
        <row r="383">
          <cell r="B383"/>
          <cell r="C383"/>
        </row>
        <row r="384">
          <cell r="B384"/>
          <cell r="C384"/>
        </row>
        <row r="385">
          <cell r="B385"/>
          <cell r="C385"/>
        </row>
        <row r="386">
          <cell r="B386"/>
          <cell r="C386"/>
        </row>
        <row r="387">
          <cell r="B387"/>
          <cell r="C387"/>
        </row>
        <row r="388">
          <cell r="B388"/>
          <cell r="C388"/>
        </row>
        <row r="389">
          <cell r="B389"/>
          <cell r="C389"/>
        </row>
        <row r="390">
          <cell r="B390"/>
          <cell r="C390"/>
        </row>
        <row r="391">
          <cell r="B391"/>
          <cell r="C391"/>
        </row>
        <row r="392">
          <cell r="B392"/>
          <cell r="C392"/>
        </row>
        <row r="393">
          <cell r="B393"/>
          <cell r="C393"/>
        </row>
        <row r="394">
          <cell r="B394"/>
          <cell r="C394"/>
        </row>
        <row r="395">
          <cell r="B395"/>
          <cell r="C395"/>
        </row>
        <row r="396">
          <cell r="B396"/>
          <cell r="C396"/>
        </row>
        <row r="397">
          <cell r="B397"/>
          <cell r="C397"/>
        </row>
        <row r="398">
          <cell r="B398"/>
          <cell r="C398"/>
        </row>
        <row r="399">
          <cell r="B399"/>
          <cell r="C399"/>
        </row>
        <row r="400">
          <cell r="B400"/>
          <cell r="C400"/>
        </row>
        <row r="401">
          <cell r="B401"/>
          <cell r="C401"/>
        </row>
        <row r="402">
          <cell r="B402"/>
          <cell r="C402"/>
        </row>
        <row r="403">
          <cell r="B403"/>
          <cell r="C403"/>
        </row>
        <row r="404">
          <cell r="B404"/>
          <cell r="C404"/>
        </row>
        <row r="405">
          <cell r="B405"/>
          <cell r="C405"/>
        </row>
        <row r="406">
          <cell r="B406"/>
          <cell r="C406"/>
        </row>
        <row r="407">
          <cell r="B407"/>
          <cell r="C407"/>
        </row>
        <row r="408">
          <cell r="B408"/>
          <cell r="C408"/>
        </row>
        <row r="409">
          <cell r="B409"/>
          <cell r="C409"/>
        </row>
        <row r="410">
          <cell r="B410"/>
          <cell r="C410"/>
        </row>
        <row r="411">
          <cell r="B411"/>
          <cell r="C411"/>
        </row>
        <row r="412">
          <cell r="B412"/>
          <cell r="C412"/>
        </row>
        <row r="413">
          <cell r="B413"/>
          <cell r="C413"/>
        </row>
        <row r="414">
          <cell r="B414"/>
          <cell r="C414"/>
        </row>
        <row r="415">
          <cell r="B415"/>
          <cell r="C415"/>
        </row>
        <row r="416">
          <cell r="B416"/>
          <cell r="C416"/>
        </row>
        <row r="417">
          <cell r="B417"/>
          <cell r="C417"/>
        </row>
        <row r="418">
          <cell r="B418"/>
          <cell r="C418"/>
        </row>
        <row r="419">
          <cell r="B419"/>
          <cell r="C419"/>
        </row>
        <row r="420">
          <cell r="B420"/>
          <cell r="C420"/>
        </row>
        <row r="421">
          <cell r="B421"/>
          <cell r="C421"/>
        </row>
        <row r="422">
          <cell r="B422"/>
          <cell r="C422"/>
        </row>
        <row r="423">
          <cell r="B423"/>
          <cell r="C423"/>
        </row>
        <row r="424">
          <cell r="B424"/>
          <cell r="C424"/>
        </row>
        <row r="425">
          <cell r="B425"/>
          <cell r="C425"/>
        </row>
        <row r="426">
          <cell r="B426"/>
          <cell r="C426"/>
        </row>
        <row r="427">
          <cell r="B427"/>
          <cell r="C427"/>
        </row>
        <row r="428">
          <cell r="B428"/>
          <cell r="C428"/>
        </row>
        <row r="429">
          <cell r="B429"/>
          <cell r="C429"/>
        </row>
        <row r="430">
          <cell r="B430"/>
          <cell r="C430"/>
        </row>
        <row r="431">
          <cell r="B431"/>
          <cell r="C431"/>
        </row>
        <row r="432">
          <cell r="B432"/>
          <cell r="C432"/>
        </row>
        <row r="433">
          <cell r="B433"/>
          <cell r="C433"/>
        </row>
        <row r="434">
          <cell r="B434"/>
          <cell r="C434"/>
        </row>
        <row r="435">
          <cell r="B435"/>
          <cell r="C435"/>
        </row>
        <row r="436">
          <cell r="B436"/>
          <cell r="C436"/>
        </row>
        <row r="437">
          <cell r="B437"/>
          <cell r="C437"/>
        </row>
        <row r="438">
          <cell r="B438"/>
          <cell r="C438"/>
        </row>
        <row r="439">
          <cell r="B439"/>
          <cell r="C439"/>
        </row>
        <row r="440">
          <cell r="B440"/>
          <cell r="C440"/>
        </row>
        <row r="441">
          <cell r="B441"/>
          <cell r="C441"/>
        </row>
        <row r="442">
          <cell r="B442"/>
          <cell r="C442"/>
        </row>
        <row r="443">
          <cell r="B443"/>
          <cell r="C443"/>
        </row>
        <row r="444">
          <cell r="B444"/>
          <cell r="C444"/>
        </row>
        <row r="445">
          <cell r="B445"/>
          <cell r="C445"/>
        </row>
        <row r="446">
          <cell r="B446"/>
          <cell r="C446"/>
        </row>
        <row r="447">
          <cell r="B447"/>
          <cell r="C447"/>
        </row>
        <row r="448">
          <cell r="B448"/>
          <cell r="C448"/>
        </row>
        <row r="449">
          <cell r="B449"/>
          <cell r="C449"/>
        </row>
        <row r="450">
          <cell r="B450"/>
          <cell r="C450"/>
        </row>
        <row r="451">
          <cell r="B451"/>
          <cell r="C451"/>
        </row>
        <row r="452">
          <cell r="B452"/>
          <cell r="C452"/>
        </row>
        <row r="453">
          <cell r="B453"/>
          <cell r="C453"/>
        </row>
        <row r="454">
          <cell r="B454"/>
          <cell r="C454"/>
        </row>
        <row r="455">
          <cell r="B455"/>
          <cell r="C455"/>
        </row>
        <row r="456">
          <cell r="B456"/>
          <cell r="C456"/>
        </row>
        <row r="457">
          <cell r="B457"/>
          <cell r="C457"/>
        </row>
        <row r="458">
          <cell r="B458"/>
          <cell r="C458"/>
        </row>
        <row r="459">
          <cell r="B459"/>
          <cell r="C459"/>
        </row>
        <row r="460">
          <cell r="B460"/>
          <cell r="C460"/>
        </row>
        <row r="461">
          <cell r="B461"/>
          <cell r="C461"/>
        </row>
        <row r="462">
          <cell r="B462"/>
          <cell r="C462"/>
        </row>
        <row r="463">
          <cell r="B463"/>
          <cell r="C463"/>
        </row>
        <row r="464">
          <cell r="B464"/>
          <cell r="C464"/>
        </row>
        <row r="465">
          <cell r="B465"/>
          <cell r="C465"/>
        </row>
        <row r="466">
          <cell r="B466"/>
          <cell r="C466"/>
        </row>
        <row r="467">
          <cell r="B467"/>
          <cell r="C467"/>
        </row>
        <row r="468">
          <cell r="B468"/>
          <cell r="C468"/>
        </row>
        <row r="469">
          <cell r="B469"/>
          <cell r="C469"/>
        </row>
        <row r="470">
          <cell r="B470"/>
          <cell r="C470"/>
        </row>
        <row r="471">
          <cell r="B471"/>
          <cell r="C471"/>
        </row>
        <row r="472">
          <cell r="B472"/>
          <cell r="C472"/>
        </row>
        <row r="473">
          <cell r="B473"/>
          <cell r="C473"/>
        </row>
        <row r="474">
          <cell r="B474"/>
          <cell r="C474"/>
        </row>
        <row r="475">
          <cell r="B475"/>
          <cell r="C475"/>
        </row>
        <row r="476">
          <cell r="B476"/>
          <cell r="C476"/>
        </row>
        <row r="477">
          <cell r="B477"/>
          <cell r="C477"/>
        </row>
        <row r="478">
          <cell r="B478"/>
          <cell r="C478"/>
        </row>
        <row r="479">
          <cell r="B479"/>
          <cell r="C479"/>
        </row>
        <row r="480">
          <cell r="B480"/>
          <cell r="C480"/>
        </row>
        <row r="481">
          <cell r="B481"/>
          <cell r="C481"/>
        </row>
        <row r="482">
          <cell r="B482"/>
          <cell r="C482"/>
        </row>
        <row r="483">
          <cell r="B483"/>
          <cell r="C483"/>
        </row>
        <row r="484">
          <cell r="B484"/>
          <cell r="C484"/>
        </row>
        <row r="485">
          <cell r="B485"/>
          <cell r="C485"/>
        </row>
        <row r="486">
          <cell r="B486"/>
          <cell r="C486"/>
        </row>
        <row r="487">
          <cell r="B487"/>
          <cell r="C487"/>
        </row>
        <row r="488">
          <cell r="B488"/>
          <cell r="C488"/>
        </row>
        <row r="489">
          <cell r="B489"/>
          <cell r="C489"/>
        </row>
        <row r="490">
          <cell r="B490"/>
          <cell r="C490"/>
        </row>
        <row r="491">
          <cell r="B491"/>
          <cell r="C491"/>
        </row>
        <row r="492">
          <cell r="B492"/>
          <cell r="C492"/>
        </row>
        <row r="493">
          <cell r="B493"/>
          <cell r="C493"/>
        </row>
        <row r="494">
          <cell r="B494"/>
          <cell r="C494"/>
        </row>
        <row r="495">
          <cell r="B495"/>
          <cell r="C495"/>
        </row>
        <row r="496">
          <cell r="B496"/>
          <cell r="C496"/>
        </row>
        <row r="497">
          <cell r="B497"/>
          <cell r="C497"/>
        </row>
        <row r="498">
          <cell r="B498"/>
          <cell r="C498"/>
        </row>
        <row r="499">
          <cell r="B499"/>
          <cell r="C499"/>
        </row>
        <row r="500">
          <cell r="B500"/>
          <cell r="C500"/>
        </row>
        <row r="501">
          <cell r="B501"/>
          <cell r="C501"/>
        </row>
        <row r="502">
          <cell r="B502"/>
          <cell r="C502"/>
        </row>
        <row r="503">
          <cell r="B503"/>
          <cell r="C503"/>
        </row>
        <row r="504">
          <cell r="B504"/>
          <cell r="C504"/>
        </row>
        <row r="505">
          <cell r="B505"/>
          <cell r="C505"/>
        </row>
        <row r="506">
          <cell r="B506"/>
          <cell r="C506"/>
        </row>
        <row r="507">
          <cell r="B507"/>
          <cell r="C507"/>
        </row>
        <row r="508">
          <cell r="B508"/>
          <cell r="C508"/>
        </row>
        <row r="509">
          <cell r="B509"/>
          <cell r="C509"/>
        </row>
        <row r="510">
          <cell r="B510"/>
          <cell r="C510"/>
        </row>
        <row r="511">
          <cell r="B511"/>
          <cell r="C511"/>
        </row>
        <row r="512">
          <cell r="B512"/>
          <cell r="C512"/>
        </row>
        <row r="513">
          <cell r="B513"/>
          <cell r="C513"/>
        </row>
        <row r="514">
          <cell r="B514"/>
          <cell r="C514"/>
        </row>
        <row r="515">
          <cell r="B515"/>
          <cell r="C515"/>
        </row>
        <row r="516">
          <cell r="B516"/>
          <cell r="C516"/>
        </row>
        <row r="517">
          <cell r="B517"/>
          <cell r="C517"/>
        </row>
        <row r="518">
          <cell r="B518"/>
          <cell r="C518"/>
        </row>
        <row r="519">
          <cell r="B519"/>
          <cell r="C519"/>
        </row>
        <row r="520">
          <cell r="B520"/>
          <cell r="C520"/>
        </row>
        <row r="521">
          <cell r="B521"/>
          <cell r="C521"/>
        </row>
        <row r="522">
          <cell r="B522"/>
          <cell r="C522"/>
        </row>
        <row r="523">
          <cell r="B523"/>
          <cell r="C523"/>
        </row>
        <row r="524">
          <cell r="B524"/>
          <cell r="C524"/>
        </row>
        <row r="525">
          <cell r="B525"/>
          <cell r="C525"/>
        </row>
        <row r="526">
          <cell r="B526"/>
          <cell r="C526"/>
        </row>
        <row r="527">
          <cell r="B527"/>
          <cell r="C527"/>
        </row>
        <row r="528">
          <cell r="B528"/>
          <cell r="C528"/>
        </row>
        <row r="529">
          <cell r="B529"/>
          <cell r="C529"/>
        </row>
        <row r="530">
          <cell r="B530"/>
          <cell r="C530"/>
        </row>
        <row r="531">
          <cell r="B531"/>
          <cell r="C531"/>
        </row>
        <row r="532">
          <cell r="B532"/>
          <cell r="C532"/>
        </row>
        <row r="533">
          <cell r="B533"/>
          <cell r="C533"/>
        </row>
        <row r="534">
          <cell r="B534"/>
          <cell r="C534"/>
        </row>
        <row r="535">
          <cell r="B535"/>
          <cell r="C535"/>
        </row>
        <row r="536">
          <cell r="B536"/>
          <cell r="C536"/>
        </row>
        <row r="537">
          <cell r="B537"/>
          <cell r="C537"/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3E4C5-7DBB-4608-8AC6-3A64CC8A4946}">
  <sheetPr codeName="Sheet1"/>
  <dimension ref="A1:F672"/>
  <sheetViews>
    <sheetView showGridLines="0" workbookViewId="0">
      <pane ySplit="1" topLeftCell="A2" activePane="bottomLeft" state="frozen"/>
      <selection pane="bottomLeft" sqref="A1:A575"/>
    </sheetView>
  </sheetViews>
  <sheetFormatPr baseColWidth="10" defaultColWidth="9.140625" defaultRowHeight="15"/>
  <cols>
    <col min="1" max="1" width="12.42578125" style="7" bestFit="1" customWidth="1"/>
    <col min="2" max="16384" width="9.140625" style="7"/>
  </cols>
  <sheetData>
    <row r="1" spans="1:6">
      <c r="A1" s="6" t="s">
        <v>10</v>
      </c>
    </row>
    <row r="2" spans="1:6">
      <c r="A2" s="8">
        <v>36161</v>
      </c>
      <c r="B2" s="11"/>
      <c r="F2" s="7">
        <f>F1-G1-I1</f>
        <v>0</v>
      </c>
    </row>
    <row r="3" spans="1:6">
      <c r="A3" s="8">
        <v>36196</v>
      </c>
      <c r="B3" s="11"/>
    </row>
    <row r="4" spans="1:6">
      <c r="A4" s="8">
        <v>36251</v>
      </c>
      <c r="B4" s="11"/>
    </row>
    <row r="5" spans="1:6">
      <c r="A5" s="8">
        <v>36252</v>
      </c>
      <c r="B5" s="11"/>
    </row>
    <row r="6" spans="1:6">
      <c r="A6" s="8">
        <v>36285</v>
      </c>
      <c r="B6" s="11"/>
    </row>
    <row r="7" spans="1:6">
      <c r="A7" s="8">
        <v>36404</v>
      </c>
      <c r="B7" s="11"/>
    </row>
    <row r="8" spans="1:6">
      <c r="A8" s="8">
        <v>36419</v>
      </c>
      <c r="B8" s="11"/>
    </row>
    <row r="9" spans="1:6">
      <c r="A9" s="8">
        <v>36466</v>
      </c>
      <c r="B9" s="11"/>
    </row>
    <row r="10" spans="1:6">
      <c r="A10" s="8">
        <v>36606</v>
      </c>
      <c r="B10" s="11"/>
    </row>
    <row r="11" spans="1:6">
      <c r="A11" s="8">
        <v>36636</v>
      </c>
      <c r="B11" s="11"/>
    </row>
    <row r="12" spans="1:6">
      <c r="A12" s="8">
        <v>36637</v>
      </c>
      <c r="B12" s="11"/>
    </row>
    <row r="13" spans="1:6">
      <c r="A13" s="8">
        <v>36647</v>
      </c>
      <c r="B13" s="11"/>
    </row>
    <row r="14" spans="1:6">
      <c r="A14" s="8">
        <v>36651</v>
      </c>
      <c r="B14" s="11"/>
    </row>
    <row r="15" spans="1:6">
      <c r="A15" s="8">
        <v>36770</v>
      </c>
      <c r="B15" s="11"/>
    </row>
    <row r="16" spans="1:6">
      <c r="A16" s="8">
        <v>36832</v>
      </c>
      <c r="B16" s="11"/>
    </row>
    <row r="17" spans="1:2">
      <c r="A17" s="8">
        <v>36850</v>
      </c>
      <c r="B17" s="11"/>
    </row>
    <row r="18" spans="1:2">
      <c r="A18" s="8">
        <v>36872</v>
      </c>
      <c r="B18" s="11"/>
    </row>
    <row r="19" spans="1:2">
      <c r="A19" s="8">
        <v>36885</v>
      </c>
      <c r="B19" s="11"/>
    </row>
    <row r="20" spans="1:2">
      <c r="A20" s="8">
        <v>36892</v>
      </c>
      <c r="B20" s="11"/>
    </row>
    <row r="21" spans="1:2">
      <c r="A21" s="8">
        <v>36927</v>
      </c>
      <c r="B21" s="11"/>
    </row>
    <row r="22" spans="1:2">
      <c r="A22" s="8">
        <v>36971</v>
      </c>
      <c r="B22" s="11"/>
    </row>
    <row r="23" spans="1:2">
      <c r="A23" s="8">
        <v>36993</v>
      </c>
      <c r="B23" s="11"/>
    </row>
    <row r="24" spans="1:2">
      <c r="A24" s="8">
        <v>36994</v>
      </c>
      <c r="B24" s="11"/>
    </row>
    <row r="25" spans="1:2">
      <c r="A25" s="8">
        <v>37012</v>
      </c>
      <c r="B25" s="11"/>
    </row>
    <row r="26" spans="1:2">
      <c r="A26" s="8">
        <v>37215</v>
      </c>
      <c r="B26" s="11"/>
    </row>
    <row r="27" spans="1:2">
      <c r="A27" s="8">
        <v>37237</v>
      </c>
      <c r="B27" s="11"/>
    </row>
    <row r="28" spans="1:2">
      <c r="A28" s="8">
        <v>37250</v>
      </c>
      <c r="B28" s="11"/>
    </row>
    <row r="29" spans="1:2">
      <c r="A29" s="8">
        <v>37257</v>
      </c>
      <c r="B29" s="11"/>
    </row>
    <row r="30" spans="1:2">
      <c r="A30" s="8">
        <v>37292</v>
      </c>
      <c r="B30" s="11"/>
    </row>
    <row r="31" spans="1:2">
      <c r="A31" s="8">
        <v>37336</v>
      </c>
      <c r="B31" s="11"/>
    </row>
    <row r="32" spans="1:2">
      <c r="A32" s="8">
        <v>37343</v>
      </c>
      <c r="B32" s="11"/>
    </row>
    <row r="33" spans="1:2">
      <c r="A33" s="8">
        <v>37344</v>
      </c>
      <c r="B33" s="11"/>
    </row>
    <row r="34" spans="1:2">
      <c r="A34" s="8">
        <v>37377</v>
      </c>
      <c r="B34" s="11"/>
    </row>
    <row r="35" spans="1:2">
      <c r="A35" s="8">
        <v>37515</v>
      </c>
      <c r="B35" s="11"/>
    </row>
    <row r="36" spans="1:2">
      <c r="A36" s="8">
        <v>37580</v>
      </c>
      <c r="B36" s="11"/>
    </row>
    <row r="37" spans="1:2">
      <c r="A37" s="8">
        <v>37602</v>
      </c>
      <c r="B37" s="11"/>
    </row>
    <row r="38" spans="1:2">
      <c r="A38" s="8">
        <v>37615</v>
      </c>
      <c r="B38" s="11"/>
    </row>
    <row r="39" spans="1:2">
      <c r="A39" s="8">
        <v>37622</v>
      </c>
      <c r="B39" s="11"/>
    </row>
    <row r="40" spans="1:2">
      <c r="A40" s="8">
        <v>37657</v>
      </c>
      <c r="B40" s="11"/>
    </row>
    <row r="41" spans="1:2">
      <c r="A41" s="8">
        <v>37701</v>
      </c>
      <c r="B41" s="11"/>
    </row>
    <row r="42" spans="1:2">
      <c r="A42" s="8">
        <v>37728</v>
      </c>
      <c r="B42" s="11"/>
    </row>
    <row r="43" spans="1:2">
      <c r="A43" s="8">
        <v>37729</v>
      </c>
      <c r="B43" s="11"/>
    </row>
    <row r="44" spans="1:2">
      <c r="A44" s="8">
        <v>37742</v>
      </c>
      <c r="B44" s="11"/>
    </row>
    <row r="45" spans="1:2">
      <c r="A45" s="8">
        <v>37880</v>
      </c>
      <c r="B45" s="11"/>
    </row>
    <row r="46" spans="1:2">
      <c r="A46" s="8">
        <v>37945</v>
      </c>
      <c r="B46" s="11"/>
    </row>
    <row r="47" spans="1:2">
      <c r="A47" s="8">
        <v>37967</v>
      </c>
      <c r="B47" s="11"/>
    </row>
    <row r="48" spans="1:2">
      <c r="A48" s="8">
        <v>37980</v>
      </c>
      <c r="B48" s="11"/>
    </row>
    <row r="49" spans="1:2">
      <c r="A49" s="8">
        <v>37987</v>
      </c>
      <c r="B49" s="11"/>
    </row>
    <row r="50" spans="1:2">
      <c r="A50" s="8">
        <v>38022</v>
      </c>
      <c r="B50" s="11"/>
    </row>
    <row r="51" spans="1:2">
      <c r="A51" s="8">
        <v>38085</v>
      </c>
      <c r="B51" s="11"/>
    </row>
    <row r="52" spans="1:2">
      <c r="A52" s="8">
        <v>38086</v>
      </c>
      <c r="B52" s="11"/>
    </row>
    <row r="53" spans="1:2">
      <c r="A53" s="8">
        <v>38246</v>
      </c>
      <c r="B53" s="11"/>
    </row>
    <row r="54" spans="1:2">
      <c r="A54" s="8">
        <v>38432</v>
      </c>
      <c r="B54" s="11"/>
    </row>
    <row r="55" spans="1:2">
      <c r="A55" s="8">
        <v>38435</v>
      </c>
      <c r="B55" s="11"/>
    </row>
    <row r="56" spans="1:2">
      <c r="A56" s="8">
        <v>38436</v>
      </c>
      <c r="B56" s="11"/>
    </row>
    <row r="57" spans="1:2">
      <c r="A57" s="8">
        <v>38611</v>
      </c>
      <c r="B57" s="11"/>
    </row>
    <row r="58" spans="1:2">
      <c r="A58" s="8">
        <v>38658</v>
      </c>
      <c r="B58" s="11"/>
    </row>
    <row r="59" spans="1:2">
      <c r="A59" s="8">
        <v>38698</v>
      </c>
      <c r="B59" s="11"/>
    </row>
    <row r="60" spans="1:2">
      <c r="A60" s="8">
        <v>38754</v>
      </c>
      <c r="B60" s="11"/>
    </row>
    <row r="61" spans="1:2">
      <c r="A61" s="8">
        <v>38797</v>
      </c>
      <c r="B61" s="11"/>
    </row>
    <row r="62" spans="1:2">
      <c r="A62" s="8">
        <v>38820</v>
      </c>
      <c r="B62" s="11"/>
    </row>
    <row r="63" spans="1:2">
      <c r="A63" s="8">
        <v>38821</v>
      </c>
      <c r="B63" s="11"/>
    </row>
    <row r="64" spans="1:2">
      <c r="A64" s="8">
        <v>38838</v>
      </c>
      <c r="B64" s="11"/>
    </row>
    <row r="65" spans="1:2">
      <c r="A65" s="8">
        <v>39023</v>
      </c>
      <c r="B65" s="11"/>
    </row>
    <row r="66" spans="1:2">
      <c r="A66" s="8">
        <v>39041</v>
      </c>
      <c r="B66" s="11"/>
    </row>
    <row r="67" spans="1:2">
      <c r="A67" s="8">
        <v>39052</v>
      </c>
      <c r="B67" s="11"/>
    </row>
    <row r="68" spans="1:2">
      <c r="A68" s="8">
        <v>39063</v>
      </c>
      <c r="B68" s="11"/>
    </row>
    <row r="69" spans="1:2">
      <c r="A69" s="8">
        <v>39076</v>
      </c>
      <c r="B69" s="11"/>
    </row>
    <row r="70" spans="1:2">
      <c r="A70" s="8">
        <v>39083</v>
      </c>
      <c r="B70" s="11"/>
    </row>
    <row r="71" spans="1:2">
      <c r="A71" s="8">
        <v>39118</v>
      </c>
      <c r="B71" s="11"/>
    </row>
    <row r="72" spans="1:2">
      <c r="A72" s="8">
        <v>39160</v>
      </c>
      <c r="B72" s="11"/>
    </row>
    <row r="73" spans="1:2">
      <c r="A73" s="8">
        <v>39177</v>
      </c>
      <c r="B73" s="11"/>
    </row>
    <row r="74" spans="1:2">
      <c r="A74" s="8">
        <v>39178</v>
      </c>
      <c r="B74" s="11"/>
    </row>
    <row r="75" spans="1:2">
      <c r="A75" s="8">
        <v>39203</v>
      </c>
      <c r="B75" s="11"/>
    </row>
    <row r="76" spans="1:2">
      <c r="A76" s="8">
        <v>39388</v>
      </c>
      <c r="B76" s="11"/>
    </row>
    <row r="77" spans="1:2">
      <c r="A77" s="8">
        <v>39405</v>
      </c>
      <c r="B77" s="11"/>
    </row>
    <row r="78" spans="1:2">
      <c r="A78" s="8">
        <v>39428</v>
      </c>
      <c r="B78" s="11"/>
    </row>
    <row r="79" spans="1:2">
      <c r="A79" s="8">
        <v>39441</v>
      </c>
      <c r="B79" s="11"/>
    </row>
    <row r="80" spans="1:2">
      <c r="A80" s="8">
        <v>39448</v>
      </c>
      <c r="B80" s="11"/>
    </row>
    <row r="81" spans="1:2">
      <c r="A81" s="8">
        <v>39482</v>
      </c>
      <c r="B81" s="11"/>
    </row>
    <row r="82" spans="1:2">
      <c r="A82" s="8">
        <v>39524</v>
      </c>
      <c r="B82" s="11"/>
    </row>
    <row r="83" spans="1:2">
      <c r="A83" s="8">
        <v>39527</v>
      </c>
      <c r="B83" s="11"/>
    </row>
    <row r="84" spans="1:2">
      <c r="A84" s="8">
        <v>39528</v>
      </c>
      <c r="B84" s="11"/>
    </row>
    <row r="85" spans="1:2">
      <c r="A85" s="8">
        <v>39569</v>
      </c>
      <c r="B85" s="11"/>
    </row>
    <row r="86" spans="1:2">
      <c r="A86" s="8">
        <v>39707</v>
      </c>
      <c r="B86" s="11"/>
    </row>
    <row r="87" spans="1:2">
      <c r="A87" s="8">
        <v>39769</v>
      </c>
      <c r="B87" s="11"/>
    </row>
    <row r="88" spans="1:2">
      <c r="A88" s="8">
        <v>39794</v>
      </c>
      <c r="B88" s="11"/>
    </row>
    <row r="89" spans="1:2">
      <c r="A89" s="8">
        <v>39807</v>
      </c>
      <c r="B89" s="11"/>
    </row>
    <row r="90" spans="1:2">
      <c r="A90" s="8">
        <v>39814</v>
      </c>
      <c r="B90" s="11"/>
    </row>
    <row r="91" spans="1:2">
      <c r="A91" s="8">
        <v>39846</v>
      </c>
      <c r="B91" s="11"/>
    </row>
    <row r="92" spans="1:2">
      <c r="A92" s="8">
        <v>39888</v>
      </c>
      <c r="B92" s="11"/>
    </row>
    <row r="93" spans="1:2">
      <c r="A93" s="8">
        <v>39912</v>
      </c>
      <c r="B93" s="11"/>
    </row>
    <row r="94" spans="1:2">
      <c r="A94" s="8">
        <v>39913</v>
      </c>
      <c r="B94" s="11"/>
    </row>
    <row r="95" spans="1:2">
      <c r="A95" s="8">
        <v>39934</v>
      </c>
      <c r="B95" s="11"/>
    </row>
    <row r="96" spans="1:2">
      <c r="A96" s="8">
        <v>40072</v>
      </c>
      <c r="B96" s="11"/>
    </row>
    <row r="97" spans="1:2">
      <c r="A97" s="8">
        <v>40119</v>
      </c>
      <c r="B97" s="11"/>
    </row>
    <row r="98" spans="1:2">
      <c r="A98" s="8">
        <v>40133</v>
      </c>
      <c r="B98" s="11"/>
    </row>
    <row r="99" spans="1:2">
      <c r="A99" s="8">
        <v>40172</v>
      </c>
      <c r="B99" s="11"/>
    </row>
    <row r="100" spans="1:2">
      <c r="A100" s="8">
        <v>40179</v>
      </c>
      <c r="B100" s="11"/>
    </row>
    <row r="101" spans="1:2">
      <c r="A101" s="8">
        <v>40210</v>
      </c>
      <c r="B101" s="11"/>
    </row>
    <row r="102" spans="1:2">
      <c r="A102" s="8">
        <v>40252</v>
      </c>
      <c r="B102" s="11"/>
    </row>
    <row r="103" spans="1:2">
      <c r="A103" s="8">
        <v>40269</v>
      </c>
      <c r="B103" s="11"/>
    </row>
    <row r="104" spans="1:2">
      <c r="A104" s="8">
        <v>40270</v>
      </c>
      <c r="B104" s="11"/>
    </row>
    <row r="105" spans="1:2">
      <c r="A105" s="8">
        <v>40437</v>
      </c>
      <c r="B105" s="11"/>
    </row>
    <row r="106" spans="1:2">
      <c r="A106" s="8">
        <v>40438</v>
      </c>
      <c r="B106" s="11"/>
    </row>
    <row r="107" spans="1:2">
      <c r="A107" s="8">
        <v>40484</v>
      </c>
      <c r="B107" s="11"/>
    </row>
    <row r="108" spans="1:2">
      <c r="A108" s="8">
        <v>40497</v>
      </c>
      <c r="B108" s="11"/>
    </row>
    <row r="109" spans="1:2">
      <c r="A109" s="8">
        <v>40581</v>
      </c>
      <c r="B109" s="11"/>
    </row>
    <row r="110" spans="1:2">
      <c r="A110" s="8">
        <v>40623</v>
      </c>
      <c r="B110" s="11"/>
    </row>
    <row r="111" spans="1:2">
      <c r="A111" s="8">
        <v>40654</v>
      </c>
      <c r="B111" s="11"/>
    </row>
    <row r="112" spans="1:2">
      <c r="A112" s="8">
        <v>40655</v>
      </c>
      <c r="B112" s="11"/>
    </row>
    <row r="113" spans="1:2">
      <c r="A113" s="8">
        <v>40802</v>
      </c>
      <c r="B113" s="11"/>
    </row>
    <row r="114" spans="1:2">
      <c r="A114" s="8">
        <v>40849</v>
      </c>
      <c r="B114" s="11"/>
    </row>
    <row r="115" spans="1:2">
      <c r="A115" s="8">
        <v>40868</v>
      </c>
      <c r="B115" s="11"/>
    </row>
    <row r="116" spans="1:2">
      <c r="A116" s="8">
        <v>40889</v>
      </c>
      <c r="B116" s="11"/>
    </row>
    <row r="117" spans="1:2">
      <c r="A117" s="8">
        <v>40945</v>
      </c>
      <c r="B117" s="11"/>
    </row>
    <row r="118" spans="1:2">
      <c r="A118" s="8">
        <v>40987</v>
      </c>
      <c r="B118" s="11"/>
    </row>
    <row r="119" spans="1:2">
      <c r="A119" s="8">
        <v>41004</v>
      </c>
      <c r="B119" s="11"/>
    </row>
    <row r="120" spans="1:2">
      <c r="A120" s="8">
        <v>41005</v>
      </c>
      <c r="B120" s="11"/>
    </row>
    <row r="121" spans="1:2">
      <c r="A121" s="8">
        <v>41030</v>
      </c>
      <c r="B121" s="11"/>
    </row>
    <row r="122" spans="1:2">
      <c r="A122" s="8">
        <v>41215</v>
      </c>
      <c r="B122" s="11"/>
    </row>
    <row r="123" spans="1:2">
      <c r="A123" s="8">
        <v>41232</v>
      </c>
      <c r="B123" s="11"/>
    </row>
    <row r="124" spans="1:2">
      <c r="A124" s="8">
        <v>41255</v>
      </c>
      <c r="B124" s="11"/>
    </row>
    <row r="125" spans="1:2">
      <c r="A125" s="8">
        <v>41268</v>
      </c>
      <c r="B125" s="11"/>
    </row>
    <row r="126" spans="1:2">
      <c r="A126" s="8">
        <v>41275</v>
      </c>
      <c r="B126" s="11"/>
    </row>
    <row r="127" spans="1:2">
      <c r="A127" s="8">
        <v>41309</v>
      </c>
      <c r="B127" s="11"/>
    </row>
    <row r="128" spans="1:2">
      <c r="A128" s="8">
        <v>41351</v>
      </c>
      <c r="B128" s="11"/>
    </row>
    <row r="129" spans="1:2">
      <c r="A129" s="8">
        <v>41361</v>
      </c>
      <c r="B129" s="11"/>
    </row>
    <row r="130" spans="1:2">
      <c r="A130" s="8">
        <v>41362</v>
      </c>
      <c r="B130" s="11"/>
    </row>
    <row r="131" spans="1:2">
      <c r="A131" s="8">
        <v>41395</v>
      </c>
      <c r="B131" s="11"/>
    </row>
    <row r="132" spans="1:2">
      <c r="A132" s="8">
        <v>41533</v>
      </c>
      <c r="B132" s="11"/>
    </row>
    <row r="133" spans="1:2">
      <c r="A133" s="8">
        <v>41596</v>
      </c>
      <c r="B133" s="11"/>
    </row>
    <row r="134" spans="1:2">
      <c r="A134" s="8">
        <v>41620</v>
      </c>
      <c r="B134" s="11"/>
    </row>
    <row r="135" spans="1:2">
      <c r="A135" s="8">
        <v>41633</v>
      </c>
      <c r="B135" s="11"/>
    </row>
    <row r="136" spans="1:2">
      <c r="A136" s="8">
        <v>41640</v>
      </c>
      <c r="B136" s="11"/>
    </row>
    <row r="137" spans="1:2">
      <c r="A137" s="8">
        <v>41673</v>
      </c>
      <c r="B137" s="11"/>
    </row>
    <row r="138" spans="1:2">
      <c r="A138" s="8">
        <v>41715</v>
      </c>
      <c r="B138" s="11"/>
    </row>
    <row r="139" spans="1:2">
      <c r="A139" s="8">
        <v>41746</v>
      </c>
      <c r="B139" s="11"/>
    </row>
    <row r="140" spans="1:2">
      <c r="A140" s="8">
        <v>41747</v>
      </c>
      <c r="B140" s="11"/>
    </row>
    <row r="141" spans="1:2">
      <c r="A141" s="8">
        <v>41760</v>
      </c>
      <c r="B141" s="11"/>
    </row>
    <row r="142" spans="1:2">
      <c r="A142" s="8">
        <v>41898</v>
      </c>
      <c r="B142" s="11"/>
    </row>
    <row r="143" spans="1:2">
      <c r="A143" s="8">
        <v>41960</v>
      </c>
      <c r="B143" s="11"/>
    </row>
    <row r="144" spans="1:2">
      <c r="A144" s="8">
        <v>41985</v>
      </c>
      <c r="B144" s="11"/>
    </row>
    <row r="145" spans="1:2">
      <c r="A145" s="8">
        <v>41998</v>
      </c>
      <c r="B145" s="11"/>
    </row>
    <row r="146" spans="1:2">
      <c r="A146" s="8">
        <v>42005</v>
      </c>
      <c r="B146" s="11"/>
    </row>
    <row r="147" spans="1:2">
      <c r="A147" s="8">
        <v>42037</v>
      </c>
      <c r="B147" s="11"/>
    </row>
    <row r="148" spans="1:2">
      <c r="A148" s="8">
        <v>42079</v>
      </c>
      <c r="B148" s="11"/>
    </row>
    <row r="149" spans="1:2">
      <c r="A149" s="8">
        <v>42096</v>
      </c>
      <c r="B149" s="11"/>
    </row>
    <row r="150" spans="1:2">
      <c r="A150" s="8">
        <v>42097</v>
      </c>
      <c r="B150" s="11"/>
    </row>
    <row r="151" spans="1:2">
      <c r="A151" s="8">
        <v>42125</v>
      </c>
      <c r="B151" s="11"/>
    </row>
    <row r="152" spans="1:2">
      <c r="A152" s="8">
        <v>42263</v>
      </c>
      <c r="B152" s="11"/>
    </row>
    <row r="153" spans="1:2">
      <c r="A153" s="8">
        <v>42310</v>
      </c>
      <c r="B153" s="11"/>
    </row>
    <row r="154" spans="1:2">
      <c r="A154" s="8">
        <v>42324</v>
      </c>
      <c r="B154" s="11"/>
    </row>
    <row r="155" spans="1:2">
      <c r="A155" s="8">
        <v>42363</v>
      </c>
      <c r="B155" s="11"/>
    </row>
    <row r="156" spans="1:2">
      <c r="A156" s="8">
        <v>42370</v>
      </c>
      <c r="B156" s="11"/>
    </row>
    <row r="157" spans="1:2">
      <c r="A157" s="8">
        <v>42401</v>
      </c>
      <c r="B157" s="11"/>
    </row>
    <row r="158" spans="1:2">
      <c r="A158" s="8">
        <v>42450</v>
      </c>
      <c r="B158" s="11"/>
    </row>
    <row r="159" spans="1:2">
      <c r="A159" s="8">
        <v>42453</v>
      </c>
      <c r="B159" s="11"/>
    </row>
    <row r="160" spans="1:2">
      <c r="A160" s="8">
        <v>42454</v>
      </c>
      <c r="B160" s="11"/>
    </row>
    <row r="161" spans="1:2">
      <c r="A161" s="8">
        <v>42629</v>
      </c>
      <c r="B161" s="11"/>
    </row>
    <row r="162" spans="1:2">
      <c r="A162" s="8">
        <v>42676</v>
      </c>
      <c r="B162" s="11"/>
    </row>
    <row r="163" spans="1:2">
      <c r="A163" s="8">
        <v>42695</v>
      </c>
      <c r="B163" s="11"/>
    </row>
    <row r="164" spans="1:2">
      <c r="A164" s="8">
        <v>42716</v>
      </c>
      <c r="B164" s="11"/>
    </row>
    <row r="165" spans="1:2">
      <c r="A165" s="8">
        <v>42772</v>
      </c>
      <c r="B165" s="11"/>
    </row>
    <row r="166" spans="1:2">
      <c r="A166" s="8">
        <v>42814</v>
      </c>
      <c r="B166" s="11"/>
    </row>
    <row r="167" spans="1:2">
      <c r="A167" s="8">
        <v>42838</v>
      </c>
      <c r="B167" s="11"/>
    </row>
    <row r="168" spans="1:2">
      <c r="A168" s="8">
        <v>42839</v>
      </c>
      <c r="B168" s="11"/>
    </row>
    <row r="169" spans="1:2">
      <c r="A169" s="8">
        <v>42856</v>
      </c>
      <c r="B169" s="11"/>
    </row>
    <row r="170" spans="1:2">
      <c r="A170" s="8">
        <v>43041</v>
      </c>
      <c r="B170" s="11"/>
    </row>
    <row r="171" spans="1:2">
      <c r="A171" s="8">
        <v>43059</v>
      </c>
      <c r="B171" s="11"/>
    </row>
    <row r="172" spans="1:2">
      <c r="A172" s="8">
        <v>43081</v>
      </c>
      <c r="B172" s="11"/>
    </row>
    <row r="173" spans="1:2">
      <c r="A173" s="8">
        <v>43094</v>
      </c>
      <c r="B173" s="11"/>
    </row>
    <row r="174" spans="1:2">
      <c r="A174" s="8">
        <v>43101</v>
      </c>
      <c r="B174" s="11"/>
    </row>
    <row r="175" spans="1:2">
      <c r="A175" s="8">
        <v>43136</v>
      </c>
      <c r="B175" s="11"/>
    </row>
    <row r="176" spans="1:2">
      <c r="A176" s="8">
        <v>43178</v>
      </c>
      <c r="B176" s="11"/>
    </row>
    <row r="177" spans="1:2">
      <c r="A177" s="8">
        <v>43188</v>
      </c>
      <c r="B177" s="11"/>
    </row>
    <row r="178" spans="1:2">
      <c r="A178" s="8">
        <v>43189</v>
      </c>
      <c r="B178" s="11"/>
    </row>
    <row r="179" spans="1:2">
      <c r="A179" s="8">
        <v>43221</v>
      </c>
      <c r="B179" s="11"/>
    </row>
    <row r="180" spans="1:2">
      <c r="A180" s="8">
        <v>43406</v>
      </c>
      <c r="B180" s="11"/>
    </row>
    <row r="181" spans="1:2">
      <c r="A181" s="8">
        <v>43423</v>
      </c>
      <c r="B181" s="11"/>
    </row>
    <row r="182" spans="1:2">
      <c r="A182" s="8">
        <v>43446</v>
      </c>
      <c r="B182" s="11"/>
    </row>
    <row r="183" spans="1:2">
      <c r="A183" s="8">
        <v>43459</v>
      </c>
      <c r="B183" s="11"/>
    </row>
    <row r="184" spans="1:2">
      <c r="A184" s="8">
        <v>43466</v>
      </c>
      <c r="B184" s="11"/>
    </row>
    <row r="185" spans="1:2">
      <c r="A185" s="8">
        <v>43500</v>
      </c>
      <c r="B185" s="11"/>
    </row>
    <row r="186" spans="1:2">
      <c r="A186" s="8">
        <v>43542</v>
      </c>
      <c r="B186" s="11"/>
    </row>
    <row r="187" spans="1:2">
      <c r="A187" s="8">
        <v>43573</v>
      </c>
      <c r="B187" s="11"/>
    </row>
    <row r="188" spans="1:2">
      <c r="A188" s="8">
        <v>43574</v>
      </c>
      <c r="B188" s="11"/>
    </row>
    <row r="189" spans="1:2">
      <c r="A189" s="8">
        <v>43586</v>
      </c>
      <c r="B189" s="11"/>
    </row>
    <row r="190" spans="1:2">
      <c r="A190" s="8">
        <v>43724</v>
      </c>
      <c r="B190" s="11"/>
    </row>
    <row r="191" spans="1:2">
      <c r="A191" s="8">
        <v>43787</v>
      </c>
      <c r="B191" s="11"/>
    </row>
    <row r="192" spans="1:2">
      <c r="A192" s="8">
        <v>43811</v>
      </c>
      <c r="B192" s="11"/>
    </row>
    <row r="193" spans="1:2">
      <c r="A193" s="8">
        <v>43824</v>
      </c>
      <c r="B193" s="11"/>
    </row>
    <row r="194" spans="1:2">
      <c r="A194" s="8">
        <v>43831</v>
      </c>
      <c r="B194" s="11"/>
    </row>
    <row r="195" spans="1:2">
      <c r="A195" s="8">
        <v>43864</v>
      </c>
      <c r="B195" s="11"/>
    </row>
    <row r="196" spans="1:2">
      <c r="A196" s="8">
        <v>43906</v>
      </c>
      <c r="B196" s="11"/>
    </row>
    <row r="197" spans="1:2">
      <c r="A197" s="8">
        <v>43930</v>
      </c>
      <c r="B197" s="11"/>
    </row>
    <row r="198" spans="1:2">
      <c r="A198" s="8">
        <v>43931</v>
      </c>
      <c r="B198" s="11"/>
    </row>
    <row r="199" spans="1:2">
      <c r="A199" s="8">
        <v>43952</v>
      </c>
      <c r="B199" s="11"/>
    </row>
    <row r="200" spans="1:2">
      <c r="A200" s="8">
        <v>44090</v>
      </c>
      <c r="B200" s="11"/>
    </row>
    <row r="201" spans="1:2">
      <c r="A201" s="8">
        <v>44137</v>
      </c>
      <c r="B201" s="11"/>
    </row>
    <row r="202" spans="1:2">
      <c r="A202" s="8">
        <v>44151</v>
      </c>
      <c r="B202" s="11"/>
    </row>
    <row r="203" spans="1:2">
      <c r="A203" s="8">
        <v>44190</v>
      </c>
      <c r="B203" s="11"/>
    </row>
    <row r="204" spans="1:2">
      <c r="A204" s="8">
        <v>44197</v>
      </c>
      <c r="B204" s="11"/>
    </row>
    <row r="205" spans="1:2">
      <c r="A205" s="8">
        <v>44228</v>
      </c>
      <c r="B205" s="11"/>
    </row>
    <row r="206" spans="1:2">
      <c r="A206" s="8">
        <v>44270</v>
      </c>
      <c r="B206" s="11"/>
    </row>
    <row r="207" spans="1:2">
      <c r="A207" s="8">
        <v>44287</v>
      </c>
      <c r="B207" s="11"/>
    </row>
    <row r="208" spans="1:2">
      <c r="A208" s="8">
        <v>44288</v>
      </c>
      <c r="B208" s="11"/>
    </row>
    <row r="209" spans="1:2">
      <c r="A209" s="8">
        <v>44455</v>
      </c>
      <c r="B209" s="11"/>
    </row>
    <row r="210" spans="1:2">
      <c r="A210" s="8">
        <v>44502</v>
      </c>
      <c r="B210" s="11"/>
    </row>
    <row r="211" spans="1:2">
      <c r="A211" s="8">
        <v>44515</v>
      </c>
      <c r="B211" s="11"/>
    </row>
    <row r="212" spans="1:2">
      <c r="A212" s="8">
        <v>44599</v>
      </c>
      <c r="B212" s="11"/>
    </row>
    <row r="213" spans="1:2">
      <c r="A213" s="8">
        <v>44641</v>
      </c>
      <c r="B213" s="11"/>
    </row>
    <row r="214" spans="1:2">
      <c r="A214" s="8">
        <v>44665</v>
      </c>
      <c r="B214" s="11"/>
    </row>
    <row r="215" spans="1:2">
      <c r="A215" s="8">
        <v>44666</v>
      </c>
      <c r="B215" s="11"/>
    </row>
    <row r="216" spans="1:2">
      <c r="A216" s="8">
        <v>44820</v>
      </c>
      <c r="B216" s="11"/>
    </row>
    <row r="217" spans="1:2">
      <c r="A217" s="8">
        <v>44867</v>
      </c>
      <c r="B217" s="11"/>
    </row>
    <row r="218" spans="1:2">
      <c r="A218" s="8">
        <v>44886</v>
      </c>
      <c r="B218" s="11"/>
    </row>
    <row r="219" spans="1:2">
      <c r="A219" s="8">
        <v>44907</v>
      </c>
      <c r="B219" s="11"/>
    </row>
    <row r="220" spans="1:2">
      <c r="A220" s="8">
        <v>44963</v>
      </c>
      <c r="B220" s="11"/>
    </row>
    <row r="221" spans="1:2">
      <c r="A221" s="8">
        <v>45005</v>
      </c>
      <c r="B221" s="11"/>
    </row>
    <row r="222" spans="1:2">
      <c r="A222" s="8">
        <v>45022</v>
      </c>
      <c r="B222" s="11"/>
    </row>
    <row r="223" spans="1:2">
      <c r="A223" s="8">
        <v>45023</v>
      </c>
      <c r="B223" s="11"/>
    </row>
    <row r="224" spans="1:2">
      <c r="A224" s="8">
        <v>45047</v>
      </c>
      <c r="B224" s="11"/>
    </row>
    <row r="225" spans="1:2">
      <c r="A225" s="8">
        <v>45232</v>
      </c>
      <c r="B225" s="11"/>
    </row>
    <row r="226" spans="1:2">
      <c r="A226" s="8">
        <v>45250</v>
      </c>
      <c r="B226" s="11"/>
    </row>
    <row r="227" spans="1:2">
      <c r="A227" s="8">
        <v>45272</v>
      </c>
      <c r="B227" s="11"/>
    </row>
    <row r="228" spans="1:2">
      <c r="A228" s="8">
        <v>45285</v>
      </c>
      <c r="B228" s="11"/>
    </row>
    <row r="229" spans="1:2">
      <c r="A229" s="8">
        <v>45292</v>
      </c>
      <c r="B229" s="11"/>
    </row>
    <row r="230" spans="1:2">
      <c r="A230" s="8">
        <v>45327</v>
      </c>
      <c r="B230" s="11"/>
    </row>
    <row r="231" spans="1:2">
      <c r="A231" s="8">
        <v>45369</v>
      </c>
      <c r="B231" s="11"/>
    </row>
    <row r="232" spans="1:2">
      <c r="A232" s="8">
        <v>45379</v>
      </c>
      <c r="B232" s="11"/>
    </row>
    <row r="233" spans="1:2">
      <c r="A233" s="8">
        <v>45380</v>
      </c>
      <c r="B233" s="11"/>
    </row>
    <row r="234" spans="1:2">
      <c r="A234" s="8">
        <v>45413</v>
      </c>
      <c r="B234" s="11"/>
    </row>
    <row r="235" spans="1:2">
      <c r="A235" s="8">
        <v>45551</v>
      </c>
      <c r="B235" s="11"/>
    </row>
    <row r="236" spans="1:2">
      <c r="A236" s="8">
        <v>45566</v>
      </c>
      <c r="B236" s="11"/>
    </row>
    <row r="237" spans="1:2">
      <c r="A237" s="8">
        <v>45614</v>
      </c>
      <c r="B237" s="11"/>
    </row>
    <row r="238" spans="1:2">
      <c r="A238" s="8">
        <v>45638</v>
      </c>
      <c r="B238" s="11"/>
    </row>
    <row r="239" spans="1:2">
      <c r="A239" s="8">
        <v>45651</v>
      </c>
      <c r="B239" s="11"/>
    </row>
    <row r="240" spans="1:2">
      <c r="A240" s="8">
        <v>45658</v>
      </c>
      <c r="B240" s="11"/>
    </row>
    <row r="241" spans="1:2">
      <c r="A241" s="8">
        <v>45691</v>
      </c>
      <c r="B241" s="11"/>
    </row>
    <row r="242" spans="1:2">
      <c r="A242" s="8">
        <v>45733</v>
      </c>
      <c r="B242" s="11"/>
    </row>
    <row r="243" spans="1:2">
      <c r="A243" s="8">
        <v>45764</v>
      </c>
      <c r="B243" s="11"/>
    </row>
    <row r="244" spans="1:2">
      <c r="A244" s="8">
        <v>45765</v>
      </c>
      <c r="B244" s="11"/>
    </row>
    <row r="245" spans="1:2">
      <c r="A245" s="8">
        <v>45778</v>
      </c>
      <c r="B245" s="11"/>
    </row>
    <row r="246" spans="1:2">
      <c r="A246" s="8">
        <v>45916</v>
      </c>
      <c r="B246" s="11"/>
    </row>
    <row r="247" spans="1:2">
      <c r="A247" s="8">
        <v>45978</v>
      </c>
      <c r="B247" s="11"/>
    </row>
    <row r="248" spans="1:2">
      <c r="A248" s="8">
        <v>46003</v>
      </c>
      <c r="B248" s="11"/>
    </row>
    <row r="249" spans="1:2">
      <c r="A249" s="8">
        <v>46016</v>
      </c>
      <c r="B249" s="11"/>
    </row>
    <row r="250" spans="1:2">
      <c r="A250" s="8">
        <v>46023</v>
      </c>
      <c r="B250" s="11"/>
    </row>
    <row r="251" spans="1:2">
      <c r="A251" s="8">
        <v>46055</v>
      </c>
      <c r="B251" s="11"/>
    </row>
    <row r="252" spans="1:2">
      <c r="A252" s="8">
        <v>46097</v>
      </c>
      <c r="B252" s="11"/>
    </row>
    <row r="253" spans="1:2">
      <c r="A253" s="8">
        <v>46114</v>
      </c>
      <c r="B253" s="11"/>
    </row>
    <row r="254" spans="1:2">
      <c r="A254" s="8">
        <v>46115</v>
      </c>
      <c r="B254" s="11"/>
    </row>
    <row r="255" spans="1:2">
      <c r="A255" s="8">
        <v>46143</v>
      </c>
      <c r="B255" s="11"/>
    </row>
    <row r="256" spans="1:2">
      <c r="A256" s="8">
        <v>46281</v>
      </c>
      <c r="B256" s="11"/>
    </row>
    <row r="257" spans="1:2">
      <c r="A257" s="8">
        <v>46328</v>
      </c>
      <c r="B257" s="11"/>
    </row>
    <row r="258" spans="1:2">
      <c r="A258" s="8">
        <v>46342</v>
      </c>
      <c r="B258" s="11"/>
    </row>
    <row r="259" spans="1:2">
      <c r="A259" s="8">
        <v>46381</v>
      </c>
      <c r="B259" s="11"/>
    </row>
    <row r="260" spans="1:2">
      <c r="A260" s="8">
        <v>46388</v>
      </c>
      <c r="B260" s="11"/>
    </row>
    <row r="261" spans="1:2">
      <c r="A261" s="8">
        <v>46419</v>
      </c>
      <c r="B261" s="11"/>
    </row>
    <row r="262" spans="1:2">
      <c r="A262" s="8">
        <v>46461</v>
      </c>
      <c r="B262" s="11"/>
    </row>
    <row r="263" spans="1:2">
      <c r="A263" s="8">
        <v>46471</v>
      </c>
      <c r="B263" s="11"/>
    </row>
    <row r="264" spans="1:2">
      <c r="A264" s="8">
        <v>46472</v>
      </c>
      <c r="B264" s="11"/>
    </row>
    <row r="265" spans="1:2">
      <c r="A265" s="8">
        <v>46646</v>
      </c>
      <c r="B265" s="11"/>
    </row>
    <row r="266" spans="1:2">
      <c r="A266" s="8">
        <v>46693</v>
      </c>
      <c r="B266" s="11"/>
    </row>
    <row r="267" spans="1:2">
      <c r="A267" s="8">
        <v>46706</v>
      </c>
      <c r="B267" s="11"/>
    </row>
    <row r="268" spans="1:2">
      <c r="A268" s="8">
        <v>46790</v>
      </c>
      <c r="B268" s="11"/>
    </row>
    <row r="269" spans="1:2">
      <c r="A269" s="8">
        <v>46832</v>
      </c>
      <c r="B269" s="11"/>
    </row>
    <row r="270" spans="1:2">
      <c r="A270" s="8">
        <v>46856</v>
      </c>
      <c r="B270" s="11"/>
    </row>
    <row r="271" spans="1:2">
      <c r="A271" s="8">
        <v>46857</v>
      </c>
      <c r="B271" s="11"/>
    </row>
    <row r="272" spans="1:2">
      <c r="A272" s="8">
        <v>46874</v>
      </c>
      <c r="B272" s="11"/>
    </row>
    <row r="273" spans="1:2">
      <c r="A273" s="8">
        <v>47059</v>
      </c>
      <c r="B273" s="11"/>
    </row>
    <row r="274" spans="1:2">
      <c r="A274" s="8">
        <v>47077</v>
      </c>
      <c r="B274" s="11"/>
    </row>
    <row r="275" spans="1:2">
      <c r="A275" s="8">
        <v>47099</v>
      </c>
      <c r="B275" s="11"/>
    </row>
    <row r="276" spans="1:2">
      <c r="A276" s="8">
        <v>47112</v>
      </c>
      <c r="B276" s="11"/>
    </row>
    <row r="277" spans="1:2">
      <c r="A277" s="8">
        <v>47119</v>
      </c>
      <c r="B277" s="11"/>
    </row>
    <row r="278" spans="1:2">
      <c r="A278" s="8">
        <v>47154</v>
      </c>
      <c r="B278" s="11"/>
    </row>
    <row r="279" spans="1:2">
      <c r="A279" s="8">
        <v>47196</v>
      </c>
      <c r="B279" s="11"/>
    </row>
    <row r="280" spans="1:2">
      <c r="A280" s="8">
        <v>47206</v>
      </c>
      <c r="B280" s="11"/>
    </row>
    <row r="281" spans="1:2">
      <c r="A281" s="8">
        <v>47207</v>
      </c>
      <c r="B281" s="11"/>
    </row>
    <row r="282" spans="1:2">
      <c r="A282" s="8">
        <v>47239</v>
      </c>
      <c r="B282" s="11"/>
    </row>
    <row r="283" spans="1:2">
      <c r="A283" s="8">
        <v>47424</v>
      </c>
      <c r="B283" s="11"/>
    </row>
    <row r="284" spans="1:2">
      <c r="A284" s="8">
        <v>47441</v>
      </c>
      <c r="B284" s="11"/>
    </row>
    <row r="285" spans="1:2">
      <c r="A285" s="8">
        <v>47464</v>
      </c>
      <c r="B285" s="11"/>
    </row>
    <row r="286" spans="1:2">
      <c r="A286" s="8">
        <v>47477</v>
      </c>
      <c r="B286" s="11"/>
    </row>
    <row r="287" spans="1:2">
      <c r="A287" s="8">
        <v>47484</v>
      </c>
      <c r="B287" s="11"/>
    </row>
    <row r="288" spans="1:2">
      <c r="A288" s="8">
        <v>47518</v>
      </c>
      <c r="B288" s="11"/>
    </row>
    <row r="289" spans="1:2">
      <c r="A289" s="8">
        <v>47560</v>
      </c>
      <c r="B289" s="11"/>
    </row>
    <row r="290" spans="1:2">
      <c r="A290" s="8">
        <v>47591</v>
      </c>
      <c r="B290" s="11"/>
    </row>
    <row r="291" spans="1:2">
      <c r="A291" s="8">
        <v>47592</v>
      </c>
      <c r="B291" s="11"/>
    </row>
    <row r="292" spans="1:2">
      <c r="A292" s="8">
        <v>47604</v>
      </c>
      <c r="B292" s="11"/>
    </row>
    <row r="293" spans="1:2">
      <c r="A293" s="8">
        <v>47742</v>
      </c>
      <c r="B293" s="11"/>
    </row>
    <row r="294" spans="1:2">
      <c r="A294" s="8">
        <v>47805</v>
      </c>
      <c r="B294" s="11"/>
    </row>
    <row r="295" spans="1:2">
      <c r="A295" s="8">
        <v>47829</v>
      </c>
      <c r="B295" s="11"/>
    </row>
    <row r="296" spans="1:2">
      <c r="A296" s="8">
        <v>47842</v>
      </c>
      <c r="B296" s="11"/>
    </row>
    <row r="297" spans="1:2">
      <c r="A297" s="8">
        <v>47849</v>
      </c>
      <c r="B297" s="11"/>
    </row>
    <row r="298" spans="1:2">
      <c r="A298" s="8">
        <v>47882</v>
      </c>
      <c r="B298" s="11"/>
    </row>
    <row r="299" spans="1:2">
      <c r="A299" s="8">
        <v>47924</v>
      </c>
      <c r="B299" s="11"/>
    </row>
    <row r="300" spans="1:2">
      <c r="A300" s="8">
        <v>47948</v>
      </c>
      <c r="B300" s="11"/>
    </row>
    <row r="301" spans="1:2">
      <c r="A301" s="8">
        <v>47949</v>
      </c>
      <c r="B301" s="11"/>
    </row>
    <row r="302" spans="1:2">
      <c r="A302" s="8">
        <v>47969</v>
      </c>
      <c r="B302" s="11"/>
    </row>
    <row r="303" spans="1:2">
      <c r="A303" s="8">
        <v>48107</v>
      </c>
      <c r="B303" s="11"/>
    </row>
    <row r="304" spans="1:2">
      <c r="A304" s="8">
        <v>48169</v>
      </c>
      <c r="B304" s="11"/>
    </row>
    <row r="305" spans="1:2">
      <c r="A305" s="8">
        <v>48194</v>
      </c>
      <c r="B305" s="11"/>
    </row>
    <row r="306" spans="1:2">
      <c r="A306" s="8">
        <v>48207</v>
      </c>
      <c r="B306" s="11"/>
    </row>
    <row r="307" spans="1:2">
      <c r="A307" s="8">
        <v>48214</v>
      </c>
      <c r="B307" s="11"/>
    </row>
    <row r="308" spans="1:2">
      <c r="A308" s="8">
        <v>48246</v>
      </c>
      <c r="B308" s="11"/>
    </row>
    <row r="309" spans="1:2">
      <c r="A309" s="8">
        <v>48288</v>
      </c>
      <c r="B309" s="11"/>
    </row>
    <row r="310" spans="1:2">
      <c r="A310" s="8">
        <v>48298</v>
      </c>
      <c r="B310" s="11"/>
    </row>
    <row r="311" spans="1:2">
      <c r="A311" s="8">
        <v>48299</v>
      </c>
      <c r="B311" s="11"/>
    </row>
    <row r="312" spans="1:2">
      <c r="A312" s="8">
        <v>48473</v>
      </c>
      <c r="B312" s="11"/>
    </row>
    <row r="313" spans="1:2">
      <c r="A313" s="8">
        <v>48520</v>
      </c>
      <c r="B313" s="11"/>
    </row>
    <row r="314" spans="1:2">
      <c r="A314" s="8">
        <v>48533</v>
      </c>
      <c r="B314" s="11"/>
    </row>
    <row r="315" spans="1:2">
      <c r="A315" s="8">
        <v>48617</v>
      </c>
      <c r="B315" s="11"/>
    </row>
    <row r="316" spans="1:2">
      <c r="A316" s="8">
        <v>48659</v>
      </c>
      <c r="B316" s="11"/>
    </row>
    <row r="317" spans="1:2">
      <c r="A317" s="8">
        <v>48683</v>
      </c>
      <c r="B317" s="11"/>
    </row>
    <row r="318" spans="1:2">
      <c r="A318" s="8">
        <v>48684</v>
      </c>
      <c r="B318" s="11"/>
    </row>
    <row r="319" spans="1:2">
      <c r="A319" s="8">
        <v>48838</v>
      </c>
      <c r="B319" s="11"/>
    </row>
    <row r="320" spans="1:2">
      <c r="A320" s="8">
        <v>48885</v>
      </c>
      <c r="B320" s="11"/>
    </row>
    <row r="321" spans="1:2">
      <c r="A321" s="8">
        <v>48904</v>
      </c>
      <c r="B321" s="11"/>
    </row>
    <row r="322" spans="1:2">
      <c r="A322" s="8">
        <v>48925</v>
      </c>
      <c r="B322" s="11"/>
    </row>
    <row r="323" spans="1:2">
      <c r="A323" s="8">
        <v>48981</v>
      </c>
      <c r="B323" s="11"/>
    </row>
    <row r="324" spans="1:2">
      <c r="A324" s="8">
        <v>49023</v>
      </c>
      <c r="B324" s="11"/>
    </row>
    <row r="325" spans="1:2">
      <c r="A325" s="8">
        <v>49040</v>
      </c>
      <c r="B325" s="11"/>
    </row>
    <row r="326" spans="1:2">
      <c r="A326" s="8">
        <v>49041</v>
      </c>
      <c r="B326" s="11"/>
    </row>
    <row r="327" spans="1:2">
      <c r="A327" s="8">
        <v>49065</v>
      </c>
      <c r="B327" s="11"/>
    </row>
    <row r="328" spans="1:2">
      <c r="A328" s="8">
        <v>49250</v>
      </c>
      <c r="B328" s="11"/>
    </row>
    <row r="329" spans="1:2">
      <c r="A329" s="8">
        <v>49268</v>
      </c>
      <c r="B329" s="11"/>
    </row>
    <row r="330" spans="1:2">
      <c r="A330" s="8">
        <v>49290</v>
      </c>
      <c r="B330" s="11"/>
    </row>
    <row r="331" spans="1:2">
      <c r="A331" s="8">
        <v>49303</v>
      </c>
      <c r="B331" s="11"/>
    </row>
    <row r="332" spans="1:2">
      <c r="A332" s="8">
        <v>49310</v>
      </c>
      <c r="B332" s="11"/>
    </row>
    <row r="333" spans="1:2">
      <c r="A333" s="8">
        <v>49345</v>
      </c>
      <c r="B333" s="11"/>
    </row>
    <row r="334" spans="1:2">
      <c r="A334" s="8">
        <v>49387</v>
      </c>
      <c r="B334" s="11"/>
    </row>
    <row r="335" spans="1:2">
      <c r="A335" s="8">
        <v>49390</v>
      </c>
      <c r="B335" s="11"/>
    </row>
    <row r="336" spans="1:2">
      <c r="A336" s="8">
        <v>49391</v>
      </c>
      <c r="B336" s="11"/>
    </row>
    <row r="337" spans="1:2">
      <c r="A337" s="8">
        <v>49430</v>
      </c>
      <c r="B337" s="11"/>
    </row>
    <row r="338" spans="1:2">
      <c r="A338" s="8">
        <v>49615</v>
      </c>
      <c r="B338" s="11"/>
    </row>
    <row r="339" spans="1:2">
      <c r="A339" s="8">
        <v>49632</v>
      </c>
      <c r="B339" s="11"/>
    </row>
    <row r="340" spans="1:2">
      <c r="A340" s="8">
        <v>49655</v>
      </c>
      <c r="B340" s="11"/>
    </row>
    <row r="341" spans="1:2">
      <c r="A341" s="8">
        <v>49668</v>
      </c>
      <c r="B341" s="11"/>
    </row>
    <row r="342" spans="1:2">
      <c r="A342" s="8">
        <v>49675</v>
      </c>
      <c r="B342" s="11"/>
    </row>
    <row r="343" spans="1:2">
      <c r="A343" s="8">
        <v>49709</v>
      </c>
      <c r="B343" s="11"/>
    </row>
    <row r="344" spans="1:2">
      <c r="A344" s="8">
        <v>49751</v>
      </c>
      <c r="B344" s="11"/>
    </row>
    <row r="345" spans="1:2">
      <c r="A345" s="8">
        <v>49775</v>
      </c>
      <c r="B345" s="11"/>
    </row>
    <row r="346" spans="1:2">
      <c r="A346" s="8">
        <v>49776</v>
      </c>
      <c r="B346" s="11"/>
    </row>
    <row r="347" spans="1:2">
      <c r="A347" s="8">
        <v>49796</v>
      </c>
      <c r="B347" s="11"/>
    </row>
    <row r="348" spans="1:2">
      <c r="A348" s="8">
        <v>49934</v>
      </c>
      <c r="B348" s="11"/>
    </row>
    <row r="349" spans="1:2">
      <c r="A349" s="8">
        <v>49996</v>
      </c>
      <c r="B349" s="11"/>
    </row>
    <row r="350" spans="1:2">
      <c r="A350" s="8">
        <v>50021</v>
      </c>
      <c r="B350" s="11"/>
    </row>
    <row r="351" spans="1:2">
      <c r="A351" s="8">
        <v>50034</v>
      </c>
      <c r="B351" s="11"/>
    </row>
    <row r="352" spans="1:2">
      <c r="A352" s="8">
        <v>50041</v>
      </c>
      <c r="B352" s="11"/>
    </row>
    <row r="353" spans="1:2">
      <c r="A353" s="8">
        <v>50073</v>
      </c>
      <c r="B353" s="11"/>
    </row>
    <row r="354" spans="1:2">
      <c r="A354" s="8">
        <v>50115</v>
      </c>
      <c r="B354" s="11"/>
    </row>
    <row r="355" spans="1:2">
      <c r="A355" s="8">
        <v>50132</v>
      </c>
      <c r="B355" s="11"/>
    </row>
    <row r="356" spans="1:2">
      <c r="A356" s="8">
        <v>50133</v>
      </c>
      <c r="B356" s="11"/>
    </row>
    <row r="357" spans="1:2">
      <c r="A357" s="8">
        <v>50161</v>
      </c>
      <c r="B357" s="11"/>
    </row>
    <row r="358" spans="1:2">
      <c r="A358" s="8">
        <v>50299</v>
      </c>
      <c r="B358" s="11"/>
    </row>
    <row r="359" spans="1:2">
      <c r="A359" s="8">
        <v>50346</v>
      </c>
      <c r="B359" s="11"/>
    </row>
    <row r="360" spans="1:2">
      <c r="A360" s="8">
        <v>50360</v>
      </c>
      <c r="B360" s="11"/>
    </row>
    <row r="361" spans="1:2">
      <c r="A361" s="8">
        <v>50399</v>
      </c>
      <c r="B361" s="11"/>
    </row>
    <row r="362" spans="1:2">
      <c r="A362" s="8">
        <v>50406</v>
      </c>
      <c r="B362" s="11"/>
    </row>
    <row r="363" spans="1:2">
      <c r="A363" s="8">
        <v>50437</v>
      </c>
      <c r="B363" s="11"/>
    </row>
    <row r="364" spans="1:2">
      <c r="A364" s="8">
        <v>50479</v>
      </c>
      <c r="B364" s="11"/>
    </row>
    <row r="365" spans="1:2">
      <c r="A365" s="8">
        <v>50517</v>
      </c>
      <c r="B365" s="11"/>
    </row>
    <row r="366" spans="1:2">
      <c r="A366" s="8">
        <v>50518</v>
      </c>
      <c r="B366" s="11"/>
    </row>
    <row r="367" spans="1:2">
      <c r="A367" s="8">
        <v>50664</v>
      </c>
      <c r="B367" s="11"/>
    </row>
    <row r="368" spans="1:2">
      <c r="A368" s="8">
        <v>50711</v>
      </c>
      <c r="B368" s="11"/>
    </row>
    <row r="369" spans="1:2">
      <c r="A369" s="8">
        <v>50724</v>
      </c>
      <c r="B369" s="11"/>
    </row>
    <row r="370" spans="1:2">
      <c r="A370" s="8">
        <v>50808</v>
      </c>
      <c r="B370" s="11"/>
    </row>
    <row r="371" spans="1:2">
      <c r="A371" s="8">
        <v>50850</v>
      </c>
      <c r="B371" s="11"/>
    </row>
    <row r="372" spans="1:2">
      <c r="A372" s="8">
        <v>50867</v>
      </c>
      <c r="B372" s="11"/>
    </row>
    <row r="373" spans="1:2">
      <c r="A373" s="8">
        <v>50868</v>
      </c>
      <c r="B373" s="11"/>
    </row>
    <row r="374" spans="1:2">
      <c r="A374" s="8">
        <v>51029</v>
      </c>
      <c r="B374" s="11"/>
    </row>
    <row r="375" spans="1:2">
      <c r="A375" s="8">
        <v>51076</v>
      </c>
      <c r="B375" s="11"/>
    </row>
    <row r="376" spans="1:2">
      <c r="A376" s="8">
        <v>51095</v>
      </c>
      <c r="B376" s="11"/>
    </row>
    <row r="377" spans="1:2">
      <c r="A377" s="8">
        <v>51116</v>
      </c>
      <c r="B377" s="11"/>
    </row>
    <row r="378" spans="1:2">
      <c r="A378" s="8">
        <v>51172</v>
      </c>
      <c r="B378" s="11"/>
    </row>
    <row r="379" spans="1:2">
      <c r="A379" s="8">
        <v>51214</v>
      </c>
      <c r="B379" s="11"/>
    </row>
    <row r="380" spans="1:2">
      <c r="A380" s="8">
        <v>51224</v>
      </c>
      <c r="B380" s="11"/>
    </row>
    <row r="381" spans="1:2">
      <c r="A381" s="8">
        <v>51225</v>
      </c>
      <c r="B381" s="11"/>
    </row>
    <row r="382" spans="1:2">
      <c r="A382" s="8">
        <v>51257</v>
      </c>
      <c r="B382" s="11"/>
    </row>
    <row r="383" spans="1:2">
      <c r="A383" s="8">
        <v>51442</v>
      </c>
      <c r="B383" s="11"/>
    </row>
    <row r="384" spans="1:2">
      <c r="A384" s="8">
        <v>51459</v>
      </c>
      <c r="B384" s="11"/>
    </row>
    <row r="385" spans="1:2">
      <c r="A385" s="8">
        <v>51482</v>
      </c>
      <c r="B385" s="11"/>
    </row>
    <row r="386" spans="1:2">
      <c r="A386" s="8">
        <v>51495</v>
      </c>
      <c r="B386" s="11"/>
    </row>
    <row r="387" spans="1:2">
      <c r="A387" s="8">
        <v>51502</v>
      </c>
      <c r="B387" s="11"/>
    </row>
    <row r="388" spans="1:2">
      <c r="A388" s="8">
        <v>51536</v>
      </c>
      <c r="B388" s="11"/>
    </row>
    <row r="389" spans="1:2">
      <c r="A389" s="8">
        <v>51578</v>
      </c>
      <c r="B389" s="11"/>
    </row>
    <row r="390" spans="1:2">
      <c r="A390" s="8">
        <v>51609</v>
      </c>
      <c r="B390" s="11"/>
    </row>
    <row r="391" spans="1:2">
      <c r="A391" s="8">
        <v>51610</v>
      </c>
      <c r="B391" s="11"/>
    </row>
    <row r="392" spans="1:2">
      <c r="A392" s="8">
        <v>51622</v>
      </c>
      <c r="B392" s="11"/>
    </row>
    <row r="393" spans="1:2">
      <c r="A393" s="8">
        <v>51760</v>
      </c>
      <c r="B393" s="11"/>
    </row>
    <row r="394" spans="1:2">
      <c r="A394" s="8">
        <v>51823</v>
      </c>
      <c r="B394" s="11"/>
    </row>
    <row r="395" spans="1:2">
      <c r="A395" s="8">
        <v>51847</v>
      </c>
      <c r="B395" s="11"/>
    </row>
    <row r="396" spans="1:2">
      <c r="A396" s="8">
        <v>51860</v>
      </c>
      <c r="B396" s="11"/>
    </row>
    <row r="397" spans="1:2">
      <c r="A397" s="8">
        <v>51867</v>
      </c>
      <c r="B397" s="11"/>
    </row>
    <row r="398" spans="1:2">
      <c r="A398" s="8">
        <v>51900</v>
      </c>
      <c r="B398" s="11"/>
    </row>
    <row r="399" spans="1:2">
      <c r="A399" s="8">
        <v>51942</v>
      </c>
      <c r="B399" s="11"/>
    </row>
    <row r="400" spans="1:2">
      <c r="A400" s="8">
        <v>51959</v>
      </c>
      <c r="B400" s="11"/>
    </row>
    <row r="401" spans="1:2">
      <c r="A401" s="8">
        <v>51960</v>
      </c>
      <c r="B401" s="11"/>
    </row>
    <row r="402" spans="1:2">
      <c r="A402" s="8">
        <v>51987</v>
      </c>
      <c r="B402" s="11"/>
    </row>
    <row r="403" spans="1:2">
      <c r="A403" s="8">
        <v>52125</v>
      </c>
      <c r="B403" s="11"/>
    </row>
    <row r="404" spans="1:2">
      <c r="A404" s="8">
        <v>52187</v>
      </c>
      <c r="B404" s="11"/>
    </row>
    <row r="405" spans="1:2">
      <c r="A405" s="8">
        <v>52212</v>
      </c>
      <c r="B405" s="11"/>
    </row>
    <row r="406" spans="1:2">
      <c r="A406" s="8">
        <v>52225</v>
      </c>
      <c r="B406" s="11"/>
    </row>
    <row r="407" spans="1:2">
      <c r="A407" s="8">
        <v>52232</v>
      </c>
      <c r="B407" s="11"/>
    </row>
    <row r="408" spans="1:2">
      <c r="A408" s="8">
        <v>52264</v>
      </c>
      <c r="B408" s="11"/>
    </row>
    <row r="409" spans="1:2">
      <c r="A409" s="8">
        <v>52306</v>
      </c>
      <c r="B409" s="11"/>
    </row>
    <row r="410" spans="1:2">
      <c r="A410" s="8">
        <v>52316</v>
      </c>
      <c r="B410" s="11"/>
    </row>
    <row r="411" spans="1:2">
      <c r="A411" s="8">
        <v>52317</v>
      </c>
      <c r="B411" s="11"/>
    </row>
    <row r="412" spans="1:2">
      <c r="A412" s="8">
        <v>52352</v>
      </c>
      <c r="B412" s="11"/>
    </row>
    <row r="413" spans="1:2">
      <c r="A413" s="8">
        <v>52490</v>
      </c>
      <c r="B413" s="11"/>
    </row>
    <row r="414" spans="1:2">
      <c r="A414" s="8">
        <v>52537</v>
      </c>
      <c r="B414" s="11"/>
    </row>
    <row r="415" spans="1:2">
      <c r="A415" s="8">
        <v>52551</v>
      </c>
      <c r="B415" s="11"/>
    </row>
    <row r="416" spans="1:2">
      <c r="A416" s="8">
        <v>52590</v>
      </c>
      <c r="B416" s="11"/>
    </row>
    <row r="417" spans="1:2">
      <c r="A417" s="8">
        <v>52597</v>
      </c>
      <c r="B417" s="11"/>
    </row>
    <row r="418" spans="1:2">
      <c r="A418" s="8">
        <v>52628</v>
      </c>
      <c r="B418" s="11"/>
    </row>
    <row r="419" spans="1:2">
      <c r="A419" s="8">
        <v>52677</v>
      </c>
      <c r="B419" s="11"/>
    </row>
    <row r="420" spans="1:2">
      <c r="A420" s="8">
        <v>52701</v>
      </c>
      <c r="B420" s="11"/>
    </row>
    <row r="421" spans="1:2">
      <c r="A421" s="8">
        <v>52702</v>
      </c>
      <c r="B421" s="11"/>
    </row>
    <row r="422" spans="1:2">
      <c r="A422" s="8">
        <v>52856</v>
      </c>
      <c r="B422" s="11"/>
    </row>
    <row r="423" spans="1:2">
      <c r="A423" s="8">
        <v>52903</v>
      </c>
      <c r="B423" s="11"/>
    </row>
    <row r="424" spans="1:2">
      <c r="A424" s="8">
        <v>52922</v>
      </c>
      <c r="B424" s="11"/>
    </row>
    <row r="425" spans="1:2">
      <c r="A425" s="8">
        <v>52943</v>
      </c>
      <c r="B425" s="11"/>
    </row>
    <row r="426" spans="1:2">
      <c r="A426" s="8">
        <v>52999</v>
      </c>
      <c r="B426" s="11"/>
    </row>
    <row r="427" spans="1:2">
      <c r="A427" s="8">
        <v>53041</v>
      </c>
      <c r="B427" s="11"/>
    </row>
    <row r="428" spans="1:2">
      <c r="A428" s="8">
        <v>53058</v>
      </c>
      <c r="B428" s="11"/>
    </row>
    <row r="429" spans="1:2">
      <c r="A429" s="8">
        <v>53059</v>
      </c>
      <c r="B429" s="11"/>
    </row>
    <row r="430" spans="1:2">
      <c r="A430" s="8">
        <v>53083</v>
      </c>
      <c r="B430" s="11"/>
    </row>
    <row r="431" spans="1:2">
      <c r="A431" s="8">
        <v>53268</v>
      </c>
      <c r="B431" s="11"/>
    </row>
    <row r="432" spans="1:2">
      <c r="A432" s="8">
        <v>53286</v>
      </c>
      <c r="B432" s="11"/>
    </row>
    <row r="433" spans="1:2">
      <c r="A433" s="8">
        <v>53308</v>
      </c>
      <c r="B433" s="11"/>
    </row>
    <row r="434" spans="1:2">
      <c r="A434" s="8">
        <v>53321</v>
      </c>
      <c r="B434" s="11"/>
    </row>
    <row r="435" spans="1:2">
      <c r="A435" s="8">
        <v>53328</v>
      </c>
      <c r="B435" s="11"/>
    </row>
    <row r="436" spans="1:2">
      <c r="A436" s="8">
        <v>53363</v>
      </c>
      <c r="B436" s="11"/>
    </row>
    <row r="437" spans="1:2">
      <c r="A437" s="8">
        <v>53405</v>
      </c>
      <c r="B437" s="11"/>
    </row>
    <row r="438" spans="1:2">
      <c r="A438" s="8">
        <v>53408</v>
      </c>
      <c r="B438" s="11"/>
    </row>
    <row r="439" spans="1:2">
      <c r="A439" s="8">
        <v>53409</v>
      </c>
      <c r="B439" s="11"/>
    </row>
    <row r="440" spans="1:2">
      <c r="A440" s="8">
        <v>53448</v>
      </c>
      <c r="B440" s="11"/>
    </row>
    <row r="441" spans="1:2">
      <c r="A441" s="8">
        <v>53633</v>
      </c>
      <c r="B441" s="11"/>
    </row>
    <row r="442" spans="1:2">
      <c r="A442" s="8">
        <v>53650</v>
      </c>
      <c r="B442" s="11"/>
    </row>
    <row r="443" spans="1:2">
      <c r="A443" s="8">
        <v>53673</v>
      </c>
      <c r="B443" s="11"/>
    </row>
    <row r="444" spans="1:2">
      <c r="A444" s="8">
        <v>53686</v>
      </c>
      <c r="B444" s="11"/>
    </row>
    <row r="445" spans="1:2">
      <c r="A445" s="8">
        <v>53693</v>
      </c>
      <c r="B445" s="11"/>
    </row>
    <row r="446" spans="1:2">
      <c r="A446" s="8">
        <v>53727</v>
      </c>
      <c r="B446" s="11"/>
    </row>
    <row r="447" spans="1:2">
      <c r="A447" s="8">
        <v>53769</v>
      </c>
      <c r="B447" s="11"/>
    </row>
    <row r="448" spans="1:2">
      <c r="A448" s="8">
        <v>53793</v>
      </c>
      <c r="B448" s="11"/>
    </row>
    <row r="449" spans="1:2">
      <c r="A449" s="8">
        <v>53794</v>
      </c>
      <c r="B449" s="11"/>
    </row>
    <row r="450" spans="1:2">
      <c r="A450" s="8">
        <v>53813</v>
      </c>
      <c r="B450" s="11"/>
    </row>
    <row r="451" spans="1:2">
      <c r="A451" s="8">
        <v>53951</v>
      </c>
      <c r="B451" s="11"/>
    </row>
    <row r="452" spans="1:2">
      <c r="A452" s="8">
        <v>54014</v>
      </c>
      <c r="B452" s="11"/>
    </row>
    <row r="453" spans="1:2">
      <c r="A453" s="8">
        <v>54038</v>
      </c>
      <c r="B453" s="11"/>
    </row>
    <row r="454" spans="1:2">
      <c r="A454" s="8">
        <v>54051</v>
      </c>
      <c r="B454" s="11"/>
    </row>
    <row r="455" spans="1:2">
      <c r="A455" s="8">
        <v>54058</v>
      </c>
      <c r="B455" s="11"/>
    </row>
    <row r="456" spans="1:2">
      <c r="A456" s="8">
        <v>54091</v>
      </c>
      <c r="B456" s="11"/>
    </row>
    <row r="457" spans="1:2">
      <c r="A457" s="8">
        <v>54133</v>
      </c>
      <c r="B457" s="11"/>
    </row>
    <row r="458" spans="1:2">
      <c r="A458" s="8">
        <v>54150</v>
      </c>
      <c r="B458" s="11"/>
    </row>
    <row r="459" spans="1:2">
      <c r="A459" s="8">
        <v>54151</v>
      </c>
      <c r="B459" s="11"/>
    </row>
    <row r="460" spans="1:2">
      <c r="A460" s="8">
        <v>54179</v>
      </c>
      <c r="B460" s="11"/>
    </row>
    <row r="461" spans="1:2">
      <c r="A461" s="8">
        <v>54317</v>
      </c>
      <c r="B461" s="11"/>
    </row>
    <row r="462" spans="1:2">
      <c r="A462" s="8">
        <v>54364</v>
      </c>
      <c r="B462" s="11"/>
    </row>
    <row r="463" spans="1:2">
      <c r="A463" s="8">
        <v>54378</v>
      </c>
      <c r="B463" s="11"/>
    </row>
    <row r="464" spans="1:2">
      <c r="A464" s="8">
        <v>54417</v>
      </c>
      <c r="B464" s="11"/>
    </row>
    <row r="465" spans="1:2">
      <c r="A465" s="8">
        <v>54424</v>
      </c>
      <c r="B465" s="11"/>
    </row>
    <row r="466" spans="1:2">
      <c r="A466" s="8">
        <v>54455</v>
      </c>
      <c r="B466" s="11"/>
    </row>
    <row r="467" spans="1:2">
      <c r="A467" s="8">
        <v>54497</v>
      </c>
      <c r="B467" s="11"/>
    </row>
    <row r="468" spans="1:2">
      <c r="A468" s="8">
        <v>54528</v>
      </c>
      <c r="B468" s="11"/>
    </row>
    <row r="469" spans="1:2">
      <c r="A469" s="8">
        <v>54529</v>
      </c>
      <c r="B469" s="11"/>
    </row>
    <row r="470" spans="1:2">
      <c r="A470" s="8">
        <v>54544</v>
      </c>
      <c r="B470" s="11"/>
    </row>
    <row r="471" spans="1:2">
      <c r="A471" s="8">
        <v>54682</v>
      </c>
      <c r="B471" s="11"/>
    </row>
    <row r="472" spans="1:2">
      <c r="A472" s="8">
        <v>54729</v>
      </c>
      <c r="B472" s="11"/>
    </row>
    <row r="473" spans="1:2">
      <c r="A473" s="8">
        <v>54742</v>
      </c>
      <c r="B473" s="11"/>
    </row>
    <row r="474" spans="1:2">
      <c r="A474" s="8">
        <v>54826</v>
      </c>
      <c r="B474" s="11"/>
    </row>
    <row r="475" spans="1:2">
      <c r="A475" s="8">
        <v>54868</v>
      </c>
      <c r="B475" s="11"/>
    </row>
    <row r="476" spans="1:2">
      <c r="A476" s="8">
        <v>54885</v>
      </c>
      <c r="B476" s="11"/>
    </row>
    <row r="477" spans="1:2">
      <c r="A477" s="8">
        <v>54886</v>
      </c>
      <c r="B477" s="11"/>
    </row>
    <row r="478" spans="1:2">
      <c r="A478" s="8">
        <v>55047</v>
      </c>
      <c r="B478" s="11"/>
    </row>
    <row r="479" spans="1:2">
      <c r="A479" s="8">
        <v>55094</v>
      </c>
      <c r="B479" s="11"/>
    </row>
    <row r="480" spans="1:2">
      <c r="A480" s="8">
        <v>55113</v>
      </c>
      <c r="B480" s="11"/>
    </row>
    <row r="481" spans="1:2">
      <c r="A481" s="8">
        <v>55134</v>
      </c>
      <c r="B481" s="11"/>
    </row>
    <row r="482" spans="1:2">
      <c r="A482" s="8">
        <v>55190</v>
      </c>
      <c r="B482" s="11"/>
    </row>
    <row r="483" spans="1:2">
      <c r="A483" s="8">
        <v>55232</v>
      </c>
      <c r="B483" s="11"/>
    </row>
    <row r="484" spans="1:2">
      <c r="A484" s="8">
        <v>55242</v>
      </c>
      <c r="B484" s="11"/>
    </row>
    <row r="485" spans="1:2">
      <c r="A485" s="8">
        <v>55243</v>
      </c>
      <c r="B485" s="11"/>
    </row>
    <row r="486" spans="1:2">
      <c r="A486" s="8">
        <v>55274</v>
      </c>
      <c r="B486" s="11"/>
    </row>
    <row r="487" spans="1:2">
      <c r="A487" s="8">
        <v>55477</v>
      </c>
      <c r="B487" s="11"/>
    </row>
    <row r="488" spans="1:2">
      <c r="A488" s="8">
        <v>55499</v>
      </c>
      <c r="B488" s="11"/>
    </row>
    <row r="489" spans="1:2">
      <c r="A489" s="8">
        <v>55512</v>
      </c>
      <c r="B489" s="11"/>
    </row>
    <row r="490" spans="1:2">
      <c r="A490" s="8">
        <v>55519</v>
      </c>
      <c r="B490" s="11"/>
    </row>
    <row r="491" spans="1:2">
      <c r="A491" s="8">
        <v>55554</v>
      </c>
      <c r="B491" s="11"/>
    </row>
    <row r="492" spans="1:2">
      <c r="A492" s="8">
        <v>55596</v>
      </c>
      <c r="B492" s="11"/>
    </row>
    <row r="493" spans="1:2">
      <c r="A493" s="8">
        <v>55627</v>
      </c>
      <c r="B493" s="11"/>
    </row>
    <row r="494" spans="1:2">
      <c r="A494" s="8">
        <v>55628</v>
      </c>
      <c r="B494" s="11"/>
    </row>
    <row r="495" spans="1:2">
      <c r="A495" s="8">
        <v>55640</v>
      </c>
      <c r="B495" s="11"/>
    </row>
    <row r="496" spans="1:2">
      <c r="A496" s="8">
        <v>55778</v>
      </c>
      <c r="B496" s="11"/>
    </row>
    <row r="497" spans="1:2">
      <c r="A497" s="8">
        <v>55841</v>
      </c>
      <c r="B497" s="11"/>
    </row>
    <row r="498" spans="1:2">
      <c r="A498" s="8">
        <v>55865</v>
      </c>
      <c r="B498" s="11"/>
    </row>
    <row r="499" spans="1:2">
      <c r="A499" s="8">
        <v>55878</v>
      </c>
      <c r="B499" s="11"/>
    </row>
    <row r="500" spans="1:2">
      <c r="A500" s="8">
        <v>55885</v>
      </c>
      <c r="B500" s="11"/>
    </row>
    <row r="501" spans="1:2">
      <c r="A501" s="8">
        <v>55918</v>
      </c>
      <c r="B501" s="11"/>
    </row>
    <row r="502" spans="1:2">
      <c r="A502" s="8">
        <v>55960</v>
      </c>
      <c r="B502" s="11"/>
    </row>
    <row r="503" spans="1:2">
      <c r="A503" s="8">
        <v>55977</v>
      </c>
      <c r="B503" s="11"/>
    </row>
    <row r="504" spans="1:2">
      <c r="A504" s="8">
        <v>55978</v>
      </c>
      <c r="B504" s="11"/>
    </row>
    <row r="505" spans="1:2">
      <c r="A505" s="8">
        <v>56005</v>
      </c>
      <c r="B505" s="11"/>
    </row>
    <row r="506" spans="1:2">
      <c r="A506" s="8">
        <v>56143</v>
      </c>
      <c r="B506" s="11"/>
    </row>
    <row r="507" spans="1:2">
      <c r="A507" s="8">
        <v>56205</v>
      </c>
      <c r="B507" s="11"/>
    </row>
    <row r="508" spans="1:2">
      <c r="A508" s="8">
        <v>56230</v>
      </c>
      <c r="B508" s="11"/>
    </row>
    <row r="509" spans="1:2">
      <c r="A509" s="8">
        <v>56243</v>
      </c>
      <c r="B509" s="11"/>
    </row>
    <row r="510" spans="1:2">
      <c r="A510" s="8">
        <v>56250</v>
      </c>
      <c r="B510" s="11"/>
    </row>
    <row r="511" spans="1:2">
      <c r="A511" s="8">
        <v>56282</v>
      </c>
      <c r="B511" s="11"/>
    </row>
    <row r="512" spans="1:2">
      <c r="A512" s="8">
        <v>56324</v>
      </c>
      <c r="B512" s="11"/>
    </row>
    <row r="513" spans="1:2">
      <c r="A513" s="8">
        <v>56334</v>
      </c>
      <c r="B513" s="11"/>
    </row>
    <row r="514" spans="1:2">
      <c r="A514" s="8">
        <v>56335</v>
      </c>
      <c r="B514" s="11"/>
    </row>
    <row r="515" spans="1:2">
      <c r="A515" s="8">
        <v>56370</v>
      </c>
      <c r="B515" s="11"/>
    </row>
    <row r="516" spans="1:2">
      <c r="A516" s="8">
        <v>56508</v>
      </c>
      <c r="B516" s="11"/>
    </row>
    <row r="517" spans="1:2">
      <c r="A517" s="8">
        <v>56569</v>
      </c>
      <c r="B517" s="11"/>
    </row>
    <row r="518" spans="1:2">
      <c r="A518" s="8">
        <v>56608</v>
      </c>
      <c r="B518" s="11"/>
    </row>
    <row r="519" spans="1:2">
      <c r="A519" s="8">
        <v>56615</v>
      </c>
      <c r="B519" s="11"/>
    </row>
    <row r="520" spans="1:2">
      <c r="A520" s="8">
        <v>56646</v>
      </c>
      <c r="B520" s="11"/>
    </row>
    <row r="521" spans="1:2">
      <c r="A521" s="8">
        <v>56688</v>
      </c>
      <c r="B521" s="11"/>
    </row>
    <row r="522" spans="1:2">
      <c r="A522" s="8">
        <v>56719</v>
      </c>
      <c r="B522" s="11"/>
    </row>
    <row r="523" spans="1:2">
      <c r="A523" s="8">
        <v>56720</v>
      </c>
      <c r="B523" s="11"/>
    </row>
    <row r="524" spans="1:2">
      <c r="A524" s="8">
        <v>56873</v>
      </c>
      <c r="B524" s="11"/>
    </row>
    <row r="525" spans="1:2">
      <c r="A525" s="8">
        <v>56933</v>
      </c>
      <c r="B525" s="11"/>
    </row>
    <row r="526" spans="1:2">
      <c r="A526" s="8">
        <v>57017</v>
      </c>
      <c r="B526" s="11"/>
    </row>
    <row r="527" spans="1:2">
      <c r="A527" s="8">
        <v>57059</v>
      </c>
      <c r="B527" s="11"/>
    </row>
    <row r="528" spans="1:2">
      <c r="A528" s="8">
        <v>57069</v>
      </c>
      <c r="B528" s="11"/>
    </row>
    <row r="529" spans="1:2">
      <c r="A529" s="8">
        <v>57070</v>
      </c>
      <c r="B529" s="11"/>
    </row>
    <row r="530" spans="1:2">
      <c r="A530" s="8">
        <v>57101</v>
      </c>
      <c r="B530" s="11"/>
    </row>
    <row r="531" spans="1:2">
      <c r="A531" s="8">
        <v>57304</v>
      </c>
      <c r="B531" s="11"/>
    </row>
    <row r="532" spans="1:2">
      <c r="A532" s="8">
        <v>57326</v>
      </c>
      <c r="B532" s="11"/>
    </row>
    <row r="533" spans="1:2">
      <c r="A533" s="8">
        <v>57339</v>
      </c>
      <c r="B533" s="11"/>
    </row>
    <row r="534" spans="1:2">
      <c r="A534" s="8">
        <v>57346</v>
      </c>
      <c r="B534" s="11"/>
    </row>
    <row r="535" spans="1:2">
      <c r="A535" s="8">
        <v>57381</v>
      </c>
      <c r="B535" s="11"/>
    </row>
    <row r="536" spans="1:2">
      <c r="A536" s="8">
        <v>57423</v>
      </c>
      <c r="B536" s="11"/>
    </row>
    <row r="537" spans="1:2">
      <c r="A537" s="8">
        <v>57454</v>
      </c>
      <c r="B537" s="11"/>
    </row>
    <row r="538" spans="1:2">
      <c r="A538" s="8">
        <v>57455</v>
      </c>
      <c r="B538" s="11"/>
    </row>
    <row r="539" spans="1:2">
      <c r="A539" s="8">
        <v>57466</v>
      </c>
      <c r="B539" s="11"/>
    </row>
    <row r="540" spans="1:2">
      <c r="A540" s="8">
        <v>57668</v>
      </c>
      <c r="B540" s="11"/>
    </row>
    <row r="541" spans="1:2">
      <c r="A541" s="8">
        <v>57691</v>
      </c>
      <c r="B541" s="11"/>
    </row>
    <row r="542" spans="1:2">
      <c r="A542" s="8">
        <v>57704</v>
      </c>
      <c r="B542" s="11"/>
    </row>
    <row r="543" spans="1:2">
      <c r="A543" s="8">
        <v>57711</v>
      </c>
      <c r="B543" s="11"/>
    </row>
    <row r="544" spans="1:2">
      <c r="A544" s="8">
        <v>57745</v>
      </c>
      <c r="B544" s="11"/>
    </row>
    <row r="545" spans="1:2">
      <c r="A545" s="8">
        <v>57787</v>
      </c>
      <c r="B545" s="11"/>
    </row>
    <row r="546" spans="1:2">
      <c r="A546" s="8">
        <v>57811</v>
      </c>
      <c r="B546" s="11"/>
    </row>
    <row r="547" spans="1:2">
      <c r="A547" s="8">
        <v>57812</v>
      </c>
      <c r="B547" s="11"/>
    </row>
    <row r="548" spans="1:2">
      <c r="A548" s="8">
        <v>57831</v>
      </c>
      <c r="B548" s="11"/>
    </row>
    <row r="549" spans="1:2">
      <c r="A549" s="8">
        <v>57969</v>
      </c>
      <c r="B549" s="11"/>
    </row>
    <row r="550" spans="1:2">
      <c r="A550" s="8">
        <v>58032</v>
      </c>
      <c r="B550" s="11"/>
    </row>
    <row r="551" spans="1:2">
      <c r="A551" s="8">
        <v>58056</v>
      </c>
      <c r="B551" s="11"/>
    </row>
    <row r="552" spans="1:2">
      <c r="A552" s="8">
        <v>58069</v>
      </c>
      <c r="B552" s="11"/>
    </row>
    <row r="553" spans="1:2">
      <c r="A553" s="8">
        <v>58076</v>
      </c>
      <c r="B553" s="11"/>
    </row>
    <row r="554" spans="1:2">
      <c r="A554" s="8">
        <v>58109</v>
      </c>
      <c r="B554" s="11"/>
    </row>
    <row r="555" spans="1:2">
      <c r="A555" s="8">
        <v>58151</v>
      </c>
      <c r="B555" s="11"/>
    </row>
    <row r="556" spans="1:2">
      <c r="A556" s="8">
        <v>58161</v>
      </c>
      <c r="B556" s="11"/>
    </row>
    <row r="557" spans="1:2">
      <c r="A557" s="8">
        <v>58162</v>
      </c>
      <c r="B557" s="11"/>
    </row>
    <row r="558" spans="1:2">
      <c r="A558" s="8">
        <v>58196</v>
      </c>
      <c r="B558" s="11"/>
    </row>
    <row r="559" spans="1:2">
      <c r="A559" s="8">
        <v>58334</v>
      </c>
      <c r="B559" s="11"/>
    </row>
    <row r="560" spans="1:2">
      <c r="A560" s="8">
        <v>58396</v>
      </c>
      <c r="B560" s="11"/>
    </row>
    <row r="561" spans="1:2">
      <c r="A561" s="8">
        <v>58421</v>
      </c>
      <c r="B561" s="11"/>
    </row>
    <row r="562" spans="1:2">
      <c r="A562" s="8">
        <v>58434</v>
      </c>
      <c r="B562" s="11"/>
    </row>
    <row r="563" spans="1:2">
      <c r="A563" s="8">
        <v>58441</v>
      </c>
      <c r="B563" s="11"/>
    </row>
    <row r="564" spans="1:2">
      <c r="A564" s="8">
        <v>58473</v>
      </c>
      <c r="B564" s="11"/>
    </row>
    <row r="565" spans="1:2">
      <c r="A565" s="8">
        <v>58515</v>
      </c>
      <c r="B565" s="11"/>
    </row>
    <row r="566" spans="1:2">
      <c r="A566" s="8">
        <v>58546</v>
      </c>
      <c r="B566" s="11"/>
    </row>
    <row r="567" spans="1:2">
      <c r="A567" s="8">
        <v>58547</v>
      </c>
      <c r="B567" s="11"/>
    </row>
    <row r="568" spans="1:2">
      <c r="A568" s="8">
        <v>58700</v>
      </c>
      <c r="B568" s="11"/>
    </row>
    <row r="569" spans="1:2">
      <c r="A569" s="8">
        <v>58760</v>
      </c>
      <c r="B569" s="11"/>
    </row>
    <row r="570" spans="1:2">
      <c r="A570" s="9">
        <v>47757</v>
      </c>
      <c r="B570" s="11"/>
    </row>
    <row r="571" spans="1:2">
      <c r="A571" s="9">
        <v>49949</v>
      </c>
      <c r="B571" s="11"/>
    </row>
    <row r="572" spans="1:2">
      <c r="A572" s="9">
        <v>52140</v>
      </c>
      <c r="B572" s="11"/>
    </row>
    <row r="573" spans="1:2">
      <c r="A573" s="9">
        <v>54332</v>
      </c>
      <c r="B573" s="11"/>
    </row>
    <row r="574" spans="1:2">
      <c r="A574" s="9">
        <v>56523</v>
      </c>
      <c r="B574" s="11"/>
    </row>
    <row r="575" spans="1:2">
      <c r="A575" s="9">
        <v>58715</v>
      </c>
      <c r="B575" s="11"/>
    </row>
    <row r="576" spans="1:2">
      <c r="A576" s="10"/>
      <c r="B576" s="11"/>
    </row>
    <row r="577" spans="1:2">
      <c r="A577" s="10"/>
      <c r="B577" s="11"/>
    </row>
    <row r="578" spans="1:2">
      <c r="A578" s="10"/>
      <c r="B578" s="11"/>
    </row>
    <row r="579" spans="1:2">
      <c r="A579" s="10"/>
      <c r="B579" s="11"/>
    </row>
    <row r="580" spans="1:2">
      <c r="A580" s="10"/>
      <c r="B580" s="11"/>
    </row>
    <row r="581" spans="1:2">
      <c r="A581" s="10"/>
      <c r="B581" s="11"/>
    </row>
    <row r="582" spans="1:2">
      <c r="A582" s="10"/>
      <c r="B582" s="11"/>
    </row>
    <row r="583" spans="1:2">
      <c r="A583" s="10"/>
      <c r="B583" s="11"/>
    </row>
    <row r="584" spans="1:2">
      <c r="A584" s="10"/>
      <c r="B584" s="11"/>
    </row>
    <row r="585" spans="1:2">
      <c r="A585" s="10"/>
      <c r="B585" s="11"/>
    </row>
    <row r="586" spans="1:2">
      <c r="A586" s="10"/>
      <c r="B586" s="11"/>
    </row>
    <row r="587" spans="1:2">
      <c r="A587" s="10"/>
      <c r="B587" s="11"/>
    </row>
    <row r="588" spans="1:2">
      <c r="A588" s="10"/>
      <c r="B588" s="11"/>
    </row>
    <row r="589" spans="1:2">
      <c r="A589" s="10"/>
      <c r="B589" s="11"/>
    </row>
    <row r="590" spans="1:2">
      <c r="A590" s="10"/>
      <c r="B590" s="11"/>
    </row>
    <row r="591" spans="1:2">
      <c r="A591" s="10"/>
      <c r="B591" s="11"/>
    </row>
    <row r="592" spans="1:2">
      <c r="A592" s="10"/>
      <c r="B592" s="11"/>
    </row>
    <row r="593" spans="1:2">
      <c r="A593" s="10"/>
      <c r="B593" s="11"/>
    </row>
    <row r="594" spans="1:2">
      <c r="A594" s="10"/>
      <c r="B594" s="11"/>
    </row>
    <row r="595" spans="1:2">
      <c r="A595" s="10"/>
      <c r="B595" s="11"/>
    </row>
    <row r="596" spans="1:2">
      <c r="A596" s="10"/>
      <c r="B596" s="11"/>
    </row>
    <row r="597" spans="1:2">
      <c r="A597" s="10"/>
      <c r="B597" s="11"/>
    </row>
    <row r="598" spans="1:2">
      <c r="A598" s="10"/>
      <c r="B598" s="11"/>
    </row>
    <row r="599" spans="1:2">
      <c r="A599" s="10"/>
      <c r="B599" s="11"/>
    </row>
    <row r="600" spans="1:2">
      <c r="A600" s="10"/>
      <c r="B600" s="11"/>
    </row>
    <row r="601" spans="1:2">
      <c r="A601" s="10"/>
      <c r="B601" s="11"/>
    </row>
    <row r="602" spans="1:2">
      <c r="A602" s="10"/>
      <c r="B602" s="11"/>
    </row>
    <row r="603" spans="1:2">
      <c r="A603" s="10"/>
      <c r="B603" s="11"/>
    </row>
    <row r="604" spans="1:2">
      <c r="A604" s="10"/>
      <c r="B604" s="11"/>
    </row>
    <row r="605" spans="1:2">
      <c r="A605" s="10"/>
      <c r="B605" s="11"/>
    </row>
    <row r="606" spans="1:2">
      <c r="A606" s="10"/>
      <c r="B606" s="11"/>
    </row>
    <row r="607" spans="1:2">
      <c r="A607" s="10"/>
      <c r="B607" s="11"/>
    </row>
    <row r="608" spans="1:2">
      <c r="A608" s="10"/>
      <c r="B608" s="11"/>
    </row>
    <row r="609" spans="1:2">
      <c r="A609" s="10"/>
      <c r="B609" s="11"/>
    </row>
    <row r="610" spans="1:2">
      <c r="A610" s="10"/>
      <c r="B610" s="11"/>
    </row>
    <row r="611" spans="1:2">
      <c r="A611" s="10"/>
      <c r="B611" s="11"/>
    </row>
    <row r="612" spans="1:2">
      <c r="A612" s="10"/>
      <c r="B612" s="11"/>
    </row>
    <row r="613" spans="1:2">
      <c r="A613" s="10"/>
      <c r="B613" s="11"/>
    </row>
    <row r="614" spans="1:2">
      <c r="A614" s="10"/>
      <c r="B614" s="11"/>
    </row>
    <row r="615" spans="1:2">
      <c r="A615" s="10"/>
      <c r="B615" s="11"/>
    </row>
    <row r="616" spans="1:2">
      <c r="A616" s="10"/>
      <c r="B616" s="11"/>
    </row>
    <row r="617" spans="1:2">
      <c r="A617" s="10"/>
      <c r="B617" s="11"/>
    </row>
    <row r="618" spans="1:2">
      <c r="A618" s="10"/>
      <c r="B618" s="11"/>
    </row>
    <row r="619" spans="1:2">
      <c r="A619" s="10"/>
      <c r="B619" s="11"/>
    </row>
    <row r="620" spans="1:2">
      <c r="A620" s="10"/>
      <c r="B620" s="11"/>
    </row>
    <row r="621" spans="1:2">
      <c r="A621" s="10"/>
      <c r="B621" s="11"/>
    </row>
    <row r="622" spans="1:2">
      <c r="A622" s="10"/>
      <c r="B622" s="11"/>
    </row>
    <row r="623" spans="1:2">
      <c r="A623" s="10"/>
      <c r="B623" s="11"/>
    </row>
    <row r="624" spans="1:2">
      <c r="A624" s="10"/>
      <c r="B624" s="11"/>
    </row>
    <row r="625" spans="1:2">
      <c r="A625" s="10"/>
      <c r="B625" s="11"/>
    </row>
    <row r="626" spans="1:2">
      <c r="A626" s="10"/>
      <c r="B626" s="11"/>
    </row>
    <row r="627" spans="1:2">
      <c r="A627" s="10"/>
      <c r="B627" s="11"/>
    </row>
    <row r="628" spans="1:2">
      <c r="A628" s="10"/>
      <c r="B628" s="11"/>
    </row>
    <row r="629" spans="1:2">
      <c r="A629" s="10"/>
      <c r="B629" s="11"/>
    </row>
    <row r="630" spans="1:2">
      <c r="A630" s="10"/>
      <c r="B630" s="11"/>
    </row>
    <row r="631" spans="1:2">
      <c r="A631" s="10"/>
      <c r="B631" s="11"/>
    </row>
    <row r="632" spans="1:2">
      <c r="A632" s="10"/>
      <c r="B632" s="11"/>
    </row>
    <row r="633" spans="1:2">
      <c r="A633" s="10"/>
      <c r="B633" s="11"/>
    </row>
    <row r="634" spans="1:2">
      <c r="A634" s="10"/>
      <c r="B634" s="11"/>
    </row>
    <row r="635" spans="1:2">
      <c r="A635" s="10"/>
      <c r="B635" s="11"/>
    </row>
    <row r="636" spans="1:2">
      <c r="A636" s="10"/>
      <c r="B636" s="11"/>
    </row>
    <row r="637" spans="1:2">
      <c r="A637" s="10"/>
      <c r="B637" s="11"/>
    </row>
    <row r="638" spans="1:2">
      <c r="A638" s="10"/>
      <c r="B638" s="11"/>
    </row>
    <row r="639" spans="1:2">
      <c r="A639" s="10"/>
      <c r="B639" s="11"/>
    </row>
    <row r="640" spans="1:2">
      <c r="A640" s="10"/>
      <c r="B640" s="11"/>
    </row>
    <row r="641" spans="1:2">
      <c r="A641" s="10"/>
      <c r="B641" s="11"/>
    </row>
    <row r="642" spans="1:2">
      <c r="A642" s="10"/>
      <c r="B642" s="11"/>
    </row>
    <row r="643" spans="1:2">
      <c r="A643" s="10"/>
      <c r="B643" s="11"/>
    </row>
    <row r="644" spans="1:2">
      <c r="A644" s="10"/>
      <c r="B644" s="11"/>
    </row>
    <row r="645" spans="1:2">
      <c r="A645" s="10"/>
      <c r="B645" s="11"/>
    </row>
    <row r="646" spans="1:2">
      <c r="A646" s="10"/>
      <c r="B646" s="11"/>
    </row>
    <row r="647" spans="1:2">
      <c r="A647" s="10"/>
      <c r="B647" s="11"/>
    </row>
    <row r="648" spans="1:2">
      <c r="A648" s="10"/>
      <c r="B648" s="11"/>
    </row>
    <row r="649" spans="1:2">
      <c r="A649" s="10"/>
      <c r="B649" s="11"/>
    </row>
    <row r="650" spans="1:2">
      <c r="A650" s="10"/>
      <c r="B650" s="11"/>
    </row>
    <row r="651" spans="1:2">
      <c r="A651" s="10"/>
      <c r="B651" s="11"/>
    </row>
    <row r="652" spans="1:2">
      <c r="A652" s="10"/>
    </row>
    <row r="653" spans="1:2">
      <c r="A653" s="10"/>
    </row>
    <row r="654" spans="1:2">
      <c r="A654" s="10"/>
    </row>
    <row r="655" spans="1:2">
      <c r="A655" s="10"/>
    </row>
    <row r="656" spans="1:2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65C7-FE0A-4EF8-8FCB-55E8C7C4DBDB}">
  <sheetPr codeName="Sheet2"/>
  <dimension ref="A1:L25"/>
  <sheetViews>
    <sheetView workbookViewId="0">
      <selection activeCell="B2" sqref="B2:B5"/>
    </sheetView>
  </sheetViews>
  <sheetFormatPr baseColWidth="10" defaultColWidth="9.140625" defaultRowHeight="15"/>
  <cols>
    <col min="1" max="1" width="13.28515625" style="1" bestFit="1" customWidth="1"/>
    <col min="2" max="2" width="37" style="1" bestFit="1" customWidth="1"/>
    <col min="3" max="16384" width="9.140625" style="1"/>
  </cols>
  <sheetData>
    <row r="1" spans="1:12">
      <c r="A1" s="5" t="s">
        <v>8</v>
      </c>
      <c r="B1" s="5" t="s">
        <v>9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 t="s">
        <v>0</v>
      </c>
      <c r="B2" s="3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 t="s">
        <v>2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 t="s">
        <v>3</v>
      </c>
      <c r="B5" s="3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FD56-72C4-4AFC-A6F9-E115822C2DDA}">
  <sheetPr codeName="Sheet3"/>
  <dimension ref="A1:Z499"/>
  <sheetViews>
    <sheetView tabSelected="1" workbookViewId="0">
      <pane xSplit="1" ySplit="2" topLeftCell="B460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9.140625" defaultRowHeight="15"/>
  <cols>
    <col min="1" max="1" width="10.7109375" style="1" bestFit="1" customWidth="1"/>
    <col min="2" max="2" width="12.5703125" style="1" bestFit="1" customWidth="1"/>
    <col min="3" max="3" width="13.5703125" style="1" bestFit="1" customWidth="1"/>
    <col min="4" max="4" width="12.140625" style="1" bestFit="1" customWidth="1"/>
    <col min="5" max="5" width="12.85546875" style="1" bestFit="1" customWidth="1"/>
    <col min="6" max="16384" width="9.140625" style="1"/>
  </cols>
  <sheetData>
    <row r="1" spans="1:26">
      <c r="A1" s="2" t="s">
        <v>11</v>
      </c>
      <c r="B1" s="4" t="s">
        <v>0</v>
      </c>
      <c r="C1" s="4" t="s">
        <v>1</v>
      </c>
      <c r="D1" s="4" t="s">
        <v>2</v>
      </c>
      <c r="E1" s="4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3">
        <f>COLUMN()</f>
        <v>1</v>
      </c>
      <c r="B2" s="13">
        <f>COLUMN()</f>
        <v>2</v>
      </c>
      <c r="C2" s="13">
        <f>COLUMN()</f>
        <v>3</v>
      </c>
      <c r="D2" s="13">
        <f>COLUMN()</f>
        <v>4</v>
      </c>
      <c r="E2" s="13">
        <f>COLUMN()</f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2">
        <v>45289</v>
      </c>
      <c r="B3" s="14">
        <v>440.18939999999998</v>
      </c>
      <c r="C3" s="14">
        <v>701.95759999999996</v>
      </c>
      <c r="D3" s="14">
        <v>742.27369999999996</v>
      </c>
      <c r="E3" s="14">
        <v>674.39419999999996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2">
        <f t="shared" ref="A4:A67" si="0">WORKDAY(A3,1,Días_festivos)</f>
        <v>45293</v>
      </c>
      <c r="B4" s="14">
        <v>440.46600000000001</v>
      </c>
      <c r="C4" s="14">
        <v>699.68269999999995</v>
      </c>
      <c r="D4" s="14">
        <v>738.71799999999996</v>
      </c>
      <c r="E4" s="14">
        <v>673.10929999999996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2">
        <f t="shared" si="0"/>
        <v>45294</v>
      </c>
      <c r="B5" s="14">
        <v>440.60390000000001</v>
      </c>
      <c r="C5" s="14">
        <v>699.07429999999999</v>
      </c>
      <c r="D5" s="14">
        <v>737.06759999999997</v>
      </c>
      <c r="E5" s="14">
        <v>672.91840000000002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2">
        <f t="shared" si="0"/>
        <v>45295</v>
      </c>
      <c r="B6" s="14">
        <v>440.7414</v>
      </c>
      <c r="C6" s="14">
        <v>696.50139999999999</v>
      </c>
      <c r="D6" s="14">
        <v>733.66700000000003</v>
      </c>
      <c r="E6" s="14">
        <v>671.29250000000002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2">
        <f t="shared" si="0"/>
        <v>45296</v>
      </c>
      <c r="B7" s="14">
        <v>440.87920000000003</v>
      </c>
      <c r="C7" s="14">
        <v>697.95699999999999</v>
      </c>
      <c r="D7" s="14">
        <v>734.89729999999997</v>
      </c>
      <c r="E7" s="14">
        <v>672.34199999999998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2">
        <f t="shared" si="0"/>
        <v>45299</v>
      </c>
      <c r="B8" s="14">
        <v>441.29320000000001</v>
      </c>
      <c r="C8" s="14">
        <v>700.13779999999997</v>
      </c>
      <c r="D8" s="14">
        <v>737.25670000000002</v>
      </c>
      <c r="E8" s="14">
        <v>673.92529999999999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2">
        <f t="shared" si="0"/>
        <v>45300</v>
      </c>
      <c r="B9" s="14">
        <v>441.4314</v>
      </c>
      <c r="C9" s="14">
        <v>699.10640000000001</v>
      </c>
      <c r="D9" s="14">
        <v>738.85720000000003</v>
      </c>
      <c r="E9" s="14">
        <v>673.21659999999997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2">
        <f t="shared" si="0"/>
        <v>45301</v>
      </c>
      <c r="B10" s="14">
        <v>441.56900000000002</v>
      </c>
      <c r="C10" s="14">
        <v>700.05690000000004</v>
      </c>
      <c r="D10" s="14">
        <v>743.26859999999999</v>
      </c>
      <c r="E10" s="14">
        <v>673.96230000000003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2">
        <f t="shared" si="0"/>
        <v>45302</v>
      </c>
      <c r="B11" s="14">
        <v>441.70659999999998</v>
      </c>
      <c r="C11" s="14">
        <v>701.08140000000003</v>
      </c>
      <c r="D11" s="14">
        <v>745.0403</v>
      </c>
      <c r="E11" s="14">
        <v>675.02890000000002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2">
        <f t="shared" si="0"/>
        <v>45303</v>
      </c>
      <c r="B12" s="14">
        <v>441.84440000000001</v>
      </c>
      <c r="C12" s="14">
        <v>704.9588</v>
      </c>
      <c r="D12" s="14">
        <v>748.31489999999997</v>
      </c>
      <c r="E12" s="14">
        <v>677.67499999999995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2">
        <f t="shared" si="0"/>
        <v>45306</v>
      </c>
      <c r="B13" s="14">
        <v>442.25790000000001</v>
      </c>
      <c r="C13" s="14">
        <v>704.13689999999997</v>
      </c>
      <c r="D13" s="14">
        <v>748.4194</v>
      </c>
      <c r="E13" s="14">
        <v>677.67629999999997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2">
        <f t="shared" si="0"/>
        <v>45307</v>
      </c>
      <c r="B14" s="14">
        <v>442.39569999999998</v>
      </c>
      <c r="C14" s="14">
        <v>701.7192</v>
      </c>
      <c r="D14" s="14">
        <v>745.85789999999997</v>
      </c>
      <c r="E14" s="14">
        <v>676.57029999999997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2">
        <f t="shared" si="0"/>
        <v>45308</v>
      </c>
      <c r="B15" s="14">
        <v>442.53359999999998</v>
      </c>
      <c r="C15" s="14">
        <v>699.0326</v>
      </c>
      <c r="D15" s="14">
        <v>743.66380000000004</v>
      </c>
      <c r="E15" s="14">
        <v>674.57050000000004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>
        <f t="shared" si="0"/>
        <v>45309</v>
      </c>
      <c r="B16" s="14">
        <v>442.67180000000002</v>
      </c>
      <c r="C16" s="14">
        <v>698.30250000000001</v>
      </c>
      <c r="D16" s="14">
        <v>745.28560000000004</v>
      </c>
      <c r="E16" s="14">
        <v>674.56089999999995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2">
        <f t="shared" si="0"/>
        <v>45310</v>
      </c>
      <c r="B17" s="14">
        <v>442.81029999999998</v>
      </c>
      <c r="C17" s="14">
        <v>697.56889999999999</v>
      </c>
      <c r="D17" s="14">
        <v>742.85889999999995</v>
      </c>
      <c r="E17" s="14">
        <v>674.21529999999996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2">
        <f t="shared" si="0"/>
        <v>45313</v>
      </c>
      <c r="B18" s="14">
        <v>443.22730000000001</v>
      </c>
      <c r="C18" s="14">
        <v>698.1019</v>
      </c>
      <c r="D18" s="14">
        <v>743.8229</v>
      </c>
      <c r="E18" s="14">
        <v>675.15359999999998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2">
        <f t="shared" si="0"/>
        <v>45314</v>
      </c>
      <c r="B19" s="14">
        <v>443.3664</v>
      </c>
      <c r="C19" s="14">
        <v>697.6268</v>
      </c>
      <c r="D19" s="14">
        <v>741.49680000000001</v>
      </c>
      <c r="E19" s="14">
        <v>675.25750000000005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2">
        <f t="shared" si="0"/>
        <v>45315</v>
      </c>
      <c r="B20" s="14">
        <v>443.5052</v>
      </c>
      <c r="C20" s="14">
        <v>697.63710000000003</v>
      </c>
      <c r="D20" s="14">
        <v>739.06759999999997</v>
      </c>
      <c r="E20" s="14">
        <v>675.09339999999997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2">
        <f t="shared" si="0"/>
        <v>45316</v>
      </c>
      <c r="B21" s="14">
        <v>443.6438</v>
      </c>
      <c r="C21" s="14">
        <v>698.48299999999995</v>
      </c>
      <c r="D21" s="14">
        <v>737.69839999999999</v>
      </c>
      <c r="E21" s="14">
        <v>675.72810000000004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2">
        <f t="shared" si="0"/>
        <v>45317</v>
      </c>
      <c r="B22" s="14">
        <v>443.7826</v>
      </c>
      <c r="C22" s="14">
        <v>697.88810000000001</v>
      </c>
      <c r="D22" s="14">
        <v>736.56600000000003</v>
      </c>
      <c r="E22" s="14">
        <v>675.37620000000004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2">
        <f t="shared" si="0"/>
        <v>45320</v>
      </c>
      <c r="B23" s="14">
        <v>444.19900000000001</v>
      </c>
      <c r="C23" s="14">
        <v>698.44910000000004</v>
      </c>
      <c r="D23" s="14">
        <v>737.53610000000003</v>
      </c>
      <c r="E23" s="14">
        <v>675.80319999999995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2">
        <f t="shared" si="0"/>
        <v>45321</v>
      </c>
      <c r="B24" s="14">
        <v>444.33800000000002</v>
      </c>
      <c r="C24" s="14">
        <v>698.14980000000003</v>
      </c>
      <c r="D24" s="14">
        <v>738.08789999999999</v>
      </c>
      <c r="E24" s="14">
        <v>675.61300000000006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2">
        <f t="shared" si="0"/>
        <v>45322</v>
      </c>
      <c r="B25" s="14">
        <v>444.47710000000001</v>
      </c>
      <c r="C25" s="14">
        <v>702.57330000000002</v>
      </c>
      <c r="D25" s="14">
        <v>741.05619999999999</v>
      </c>
      <c r="E25" s="14">
        <v>678.39580000000001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2">
        <f t="shared" si="0"/>
        <v>45323</v>
      </c>
      <c r="B26" s="14">
        <v>444.61590000000001</v>
      </c>
      <c r="C26" s="14">
        <v>704.89009999999996</v>
      </c>
      <c r="D26" s="14">
        <v>745.34640000000002</v>
      </c>
      <c r="E26" s="14">
        <v>680.11940000000004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2">
        <f t="shared" si="0"/>
        <v>45324</v>
      </c>
      <c r="B27" s="14">
        <v>444.75490000000002</v>
      </c>
      <c r="C27" s="14">
        <v>699.38819999999998</v>
      </c>
      <c r="D27" s="14">
        <v>739.61869999999999</v>
      </c>
      <c r="E27" s="14">
        <v>677.20889999999997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2">
        <f t="shared" si="0"/>
        <v>45328</v>
      </c>
      <c r="B28" s="14">
        <v>445.31079999999997</v>
      </c>
      <c r="C28" s="14">
        <v>698.55889999999999</v>
      </c>
      <c r="D28" s="14">
        <v>737.74599999999998</v>
      </c>
      <c r="E28" s="14">
        <v>676.8691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2">
        <f t="shared" si="0"/>
        <v>45329</v>
      </c>
      <c r="B29" s="14">
        <v>445.45</v>
      </c>
      <c r="C29" s="14">
        <v>698.68910000000005</v>
      </c>
      <c r="D29" s="14">
        <v>737.98450000000003</v>
      </c>
      <c r="E29" s="14">
        <v>677.50729999999999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2">
        <f t="shared" si="0"/>
        <v>45330</v>
      </c>
      <c r="B30" s="14">
        <v>445.58909999999997</v>
      </c>
      <c r="C30" s="14">
        <v>700.16480000000001</v>
      </c>
      <c r="D30" s="14">
        <v>739.28279999999995</v>
      </c>
      <c r="E30" s="14">
        <v>678.54499999999996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2">
        <f t="shared" si="0"/>
        <v>45331</v>
      </c>
      <c r="B31" s="14">
        <v>445.72820000000002</v>
      </c>
      <c r="C31" s="14">
        <v>701.91520000000003</v>
      </c>
      <c r="D31" s="14">
        <v>740.56539999999995</v>
      </c>
      <c r="E31" s="14">
        <v>679.62760000000003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2">
        <f t="shared" si="0"/>
        <v>45334</v>
      </c>
      <c r="B32" s="14">
        <v>446.14569999999998</v>
      </c>
      <c r="C32" s="14">
        <v>702.65419999999995</v>
      </c>
      <c r="D32" s="14">
        <v>739.84450000000004</v>
      </c>
      <c r="E32" s="14">
        <v>680.24210000000005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2">
        <f t="shared" si="0"/>
        <v>45335</v>
      </c>
      <c r="B33" s="14">
        <v>446.28500000000003</v>
      </c>
      <c r="C33" s="14">
        <v>698.91880000000003</v>
      </c>
      <c r="D33" s="14">
        <v>735.92819999999995</v>
      </c>
      <c r="E33" s="14">
        <v>677.75819999999999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2">
        <f t="shared" si="0"/>
        <v>45336</v>
      </c>
      <c r="B34" s="14">
        <v>446.42439999999999</v>
      </c>
      <c r="C34" s="14">
        <v>701.05989999999997</v>
      </c>
      <c r="D34" s="14">
        <v>741.51</v>
      </c>
      <c r="E34" s="14">
        <v>678.93809999999996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2">
        <f t="shared" si="0"/>
        <v>45337</v>
      </c>
      <c r="B35" s="14">
        <v>446.56380000000001</v>
      </c>
      <c r="C35" s="14">
        <v>701.94569999999999</v>
      </c>
      <c r="D35" s="14">
        <v>740.49680000000001</v>
      </c>
      <c r="E35" s="14">
        <v>679.30880000000002</v>
      </c>
    </row>
    <row r="36" spans="1:26">
      <c r="A36" s="12">
        <f t="shared" si="0"/>
        <v>45338</v>
      </c>
      <c r="B36" s="14">
        <v>446.70319999999998</v>
      </c>
      <c r="C36" s="14">
        <v>700.71550000000002</v>
      </c>
      <c r="D36" s="14">
        <v>738.02760000000001</v>
      </c>
      <c r="E36" s="14">
        <v>678.65229999999997</v>
      </c>
    </row>
    <row r="37" spans="1:26">
      <c r="A37" s="12">
        <f t="shared" si="0"/>
        <v>45341</v>
      </c>
      <c r="B37" s="14">
        <v>447.12169999999998</v>
      </c>
      <c r="C37" s="14">
        <v>700.67439999999999</v>
      </c>
      <c r="D37" s="14">
        <v>738.70039999999995</v>
      </c>
      <c r="E37" s="14">
        <v>679.1</v>
      </c>
    </row>
    <row r="38" spans="1:26">
      <c r="A38" s="12">
        <f t="shared" si="0"/>
        <v>45342</v>
      </c>
      <c r="B38" s="14">
        <v>447.26150000000001</v>
      </c>
      <c r="C38" s="14">
        <v>700.92309999999998</v>
      </c>
      <c r="D38" s="14">
        <v>737.05949999999996</v>
      </c>
      <c r="E38" s="14">
        <v>679.40110000000004</v>
      </c>
    </row>
    <row r="39" spans="1:26">
      <c r="A39" s="12">
        <f t="shared" si="0"/>
        <v>45343</v>
      </c>
      <c r="B39" s="14">
        <v>447.40140000000002</v>
      </c>
      <c r="C39" s="14">
        <v>702.40719999999999</v>
      </c>
      <c r="D39" s="14">
        <v>736.26750000000004</v>
      </c>
      <c r="E39" s="14">
        <v>680.77890000000002</v>
      </c>
    </row>
    <row r="40" spans="1:26">
      <c r="A40" s="12">
        <f t="shared" si="0"/>
        <v>45344</v>
      </c>
      <c r="B40" s="14">
        <v>447.5412</v>
      </c>
      <c r="C40" s="14">
        <v>703.02880000000005</v>
      </c>
      <c r="D40" s="14">
        <v>736.5643</v>
      </c>
      <c r="E40" s="14">
        <v>681.59270000000004</v>
      </c>
    </row>
    <row r="41" spans="1:26">
      <c r="A41" s="12">
        <f t="shared" si="0"/>
        <v>45345</v>
      </c>
      <c r="B41" s="14">
        <v>447.68110000000001</v>
      </c>
      <c r="C41" s="14">
        <v>703.95150000000001</v>
      </c>
      <c r="D41" s="14">
        <v>735.89229999999998</v>
      </c>
      <c r="E41" s="14">
        <v>682.01089999999999</v>
      </c>
    </row>
    <row r="42" spans="1:26">
      <c r="A42" s="12">
        <f t="shared" si="0"/>
        <v>45348</v>
      </c>
      <c r="B42" s="14">
        <v>448.10079999999999</v>
      </c>
      <c r="C42" s="14">
        <v>702.8845</v>
      </c>
      <c r="D42" s="14">
        <v>733.81709999999998</v>
      </c>
      <c r="E42" s="14">
        <v>681.81</v>
      </c>
    </row>
    <row r="43" spans="1:26">
      <c r="A43" s="12">
        <f t="shared" si="0"/>
        <v>45349</v>
      </c>
      <c r="B43" s="14">
        <v>448.24079999999998</v>
      </c>
      <c r="C43" s="14">
        <v>702.68330000000003</v>
      </c>
      <c r="D43" s="14">
        <v>734.40750000000003</v>
      </c>
      <c r="E43" s="14">
        <v>681.53890000000001</v>
      </c>
    </row>
    <row r="44" spans="1:26">
      <c r="A44" s="12">
        <f t="shared" si="0"/>
        <v>45350</v>
      </c>
      <c r="B44" s="14">
        <v>448.3809</v>
      </c>
      <c r="C44" s="14">
        <v>704.64840000000004</v>
      </c>
      <c r="D44" s="14">
        <v>736.31389999999999</v>
      </c>
      <c r="E44" s="14">
        <v>682.72739999999999</v>
      </c>
    </row>
    <row r="45" spans="1:26">
      <c r="A45" s="12">
        <f t="shared" si="0"/>
        <v>45351</v>
      </c>
      <c r="B45" s="14">
        <v>448.5213</v>
      </c>
      <c r="C45" s="14">
        <v>706.62040000000002</v>
      </c>
      <c r="D45" s="14">
        <v>736.67449999999997</v>
      </c>
      <c r="E45" s="14">
        <v>683.63390000000004</v>
      </c>
    </row>
    <row r="46" spans="1:26">
      <c r="A46" s="12">
        <f t="shared" si="0"/>
        <v>45352</v>
      </c>
      <c r="B46" s="14">
        <v>448.66140000000001</v>
      </c>
      <c r="C46" s="14">
        <v>706.81659999999999</v>
      </c>
      <c r="D46" s="14">
        <v>737.29769999999996</v>
      </c>
      <c r="E46" s="14">
        <v>683.57119999999998</v>
      </c>
    </row>
    <row r="47" spans="1:26">
      <c r="A47" s="12">
        <f t="shared" si="0"/>
        <v>45355</v>
      </c>
      <c r="B47" s="14">
        <v>449.0813</v>
      </c>
      <c r="C47" s="14">
        <v>705.96870000000001</v>
      </c>
      <c r="D47" s="14">
        <v>737.74800000000005</v>
      </c>
      <c r="E47" s="14">
        <v>683.35590000000002</v>
      </c>
    </row>
    <row r="48" spans="1:26">
      <c r="A48" s="12">
        <f t="shared" si="0"/>
        <v>45356</v>
      </c>
      <c r="B48" s="14">
        <v>449.22140000000002</v>
      </c>
      <c r="C48" s="14">
        <v>707.58360000000005</v>
      </c>
      <c r="D48" s="14">
        <v>740.03859999999997</v>
      </c>
      <c r="E48" s="14">
        <v>684.48069999999996</v>
      </c>
    </row>
    <row r="49" spans="1:5">
      <c r="A49" s="12">
        <f t="shared" si="0"/>
        <v>45357</v>
      </c>
      <c r="B49" s="14">
        <v>449.36149999999998</v>
      </c>
      <c r="C49" s="14">
        <v>709.37620000000004</v>
      </c>
      <c r="D49" s="14">
        <v>742.86969999999997</v>
      </c>
      <c r="E49" s="14">
        <v>685.48559999999998</v>
      </c>
    </row>
    <row r="50" spans="1:5">
      <c r="A50" s="12">
        <f t="shared" si="0"/>
        <v>45358</v>
      </c>
      <c r="B50" s="14">
        <v>449.50200000000001</v>
      </c>
      <c r="C50" s="14">
        <v>709.01419999999996</v>
      </c>
      <c r="D50" s="14">
        <v>741.22619999999995</v>
      </c>
      <c r="E50" s="14">
        <v>685.01940000000002</v>
      </c>
    </row>
    <row r="51" spans="1:5">
      <c r="A51" s="12">
        <f t="shared" si="0"/>
        <v>45359</v>
      </c>
      <c r="B51" s="14">
        <v>449.64269999999999</v>
      </c>
      <c r="C51" s="14">
        <v>708.93219999999997</v>
      </c>
      <c r="D51" s="14">
        <v>738.31370000000004</v>
      </c>
      <c r="E51" s="14">
        <v>685.36400000000003</v>
      </c>
    </row>
    <row r="52" spans="1:5">
      <c r="A52" s="12">
        <f t="shared" si="0"/>
        <v>45362</v>
      </c>
      <c r="B52" s="14">
        <v>450.06459999999998</v>
      </c>
      <c r="C52" s="14">
        <v>708.33439999999996</v>
      </c>
      <c r="D52" s="14">
        <v>736.78319999999997</v>
      </c>
      <c r="E52" s="14">
        <v>685.37639999999999</v>
      </c>
    </row>
    <row r="53" spans="1:5">
      <c r="A53" s="12">
        <f t="shared" si="0"/>
        <v>45363</v>
      </c>
      <c r="B53" s="14">
        <v>450.20519999999999</v>
      </c>
      <c r="C53" s="14">
        <v>708.14549999999997</v>
      </c>
      <c r="D53" s="14">
        <v>734.97749999999996</v>
      </c>
      <c r="E53" s="14">
        <v>685.85730000000001</v>
      </c>
    </row>
    <row r="54" spans="1:5">
      <c r="A54" s="12">
        <f t="shared" si="0"/>
        <v>45364</v>
      </c>
      <c r="B54" s="14">
        <v>450.34589999999997</v>
      </c>
      <c r="C54" s="14">
        <v>708.76400000000001</v>
      </c>
      <c r="D54" s="14">
        <v>734.66679999999997</v>
      </c>
      <c r="E54" s="14">
        <v>686.59939999999995</v>
      </c>
    </row>
    <row r="55" spans="1:5">
      <c r="A55" s="12">
        <f t="shared" si="0"/>
        <v>45365</v>
      </c>
      <c r="B55" s="14">
        <v>450.48649999999998</v>
      </c>
      <c r="C55" s="14">
        <v>706.49570000000006</v>
      </c>
      <c r="D55" s="14">
        <v>729.23099999999999</v>
      </c>
      <c r="E55" s="14">
        <v>685.36590000000001</v>
      </c>
    </row>
    <row r="56" spans="1:5">
      <c r="A56" s="12">
        <f t="shared" si="0"/>
        <v>45366</v>
      </c>
      <c r="B56" s="14">
        <v>450.62720000000002</v>
      </c>
      <c r="C56" s="14">
        <v>704.15229999999997</v>
      </c>
      <c r="D56" s="14">
        <v>724.84410000000003</v>
      </c>
      <c r="E56" s="14">
        <v>684.22280000000001</v>
      </c>
    </row>
    <row r="57" spans="1:5">
      <c r="A57" s="12">
        <f t="shared" si="0"/>
        <v>45370</v>
      </c>
      <c r="B57" s="14">
        <v>451.18990000000002</v>
      </c>
      <c r="C57" s="14">
        <v>704.81560000000002</v>
      </c>
      <c r="D57" s="14">
        <v>724.84</v>
      </c>
      <c r="E57" s="14">
        <v>685.04240000000004</v>
      </c>
    </row>
    <row r="58" spans="1:5">
      <c r="A58" s="12">
        <f t="shared" si="0"/>
        <v>45371</v>
      </c>
      <c r="B58" s="14">
        <v>451.33109999999999</v>
      </c>
      <c r="C58" s="14">
        <v>706.83309999999994</v>
      </c>
      <c r="D58" s="14">
        <v>724.50670000000002</v>
      </c>
      <c r="E58" s="14">
        <v>686.66859999999997</v>
      </c>
    </row>
    <row r="59" spans="1:5">
      <c r="A59" s="12">
        <f t="shared" si="0"/>
        <v>45372</v>
      </c>
      <c r="B59" s="14">
        <v>451.47219999999999</v>
      </c>
      <c r="C59" s="14">
        <v>708.96199999999999</v>
      </c>
      <c r="D59" s="14">
        <v>724.88660000000004</v>
      </c>
      <c r="E59" s="14">
        <v>688.13900000000001</v>
      </c>
    </row>
    <row r="60" spans="1:5">
      <c r="A60" s="12">
        <f t="shared" si="0"/>
        <v>45373</v>
      </c>
      <c r="B60" s="14">
        <v>451.61059999999998</v>
      </c>
      <c r="C60" s="14">
        <v>707.74540000000002</v>
      </c>
      <c r="D60" s="14">
        <v>722.18460000000005</v>
      </c>
      <c r="E60" s="14">
        <v>687.2432</v>
      </c>
    </row>
    <row r="61" spans="1:5">
      <c r="A61" s="12">
        <f t="shared" si="0"/>
        <v>45376</v>
      </c>
      <c r="B61" s="14">
        <v>452.02679999999998</v>
      </c>
      <c r="C61" s="14">
        <v>705.68089999999995</v>
      </c>
      <c r="D61" s="14">
        <v>719.38660000000004</v>
      </c>
      <c r="E61" s="14">
        <v>685.97659999999996</v>
      </c>
    </row>
    <row r="62" spans="1:5">
      <c r="A62" s="12">
        <f t="shared" si="0"/>
        <v>45377</v>
      </c>
      <c r="B62" s="14">
        <v>452.16570000000002</v>
      </c>
      <c r="C62" s="14">
        <v>707.15419999999995</v>
      </c>
      <c r="D62" s="14">
        <v>721.47080000000005</v>
      </c>
      <c r="E62" s="14">
        <v>686.96130000000005</v>
      </c>
    </row>
    <row r="63" spans="1:5">
      <c r="A63" s="12">
        <f t="shared" si="0"/>
        <v>45378</v>
      </c>
      <c r="B63" s="14">
        <v>452.86279999999999</v>
      </c>
      <c r="C63" s="14">
        <v>708.40099999999995</v>
      </c>
      <c r="D63" s="14">
        <v>726.66179999999997</v>
      </c>
      <c r="E63" s="14">
        <v>687.93349999999998</v>
      </c>
    </row>
    <row r="64" spans="1:5">
      <c r="A64" s="12">
        <f t="shared" si="0"/>
        <v>45383</v>
      </c>
      <c r="B64" s="14">
        <v>453.00200000000001</v>
      </c>
      <c r="C64" s="14">
        <v>705.77470000000005</v>
      </c>
      <c r="D64" s="14">
        <v>725.87159999999994</v>
      </c>
      <c r="E64" s="14">
        <v>686.8492</v>
      </c>
    </row>
    <row r="65" spans="1:5">
      <c r="A65" s="12">
        <f t="shared" si="0"/>
        <v>45384</v>
      </c>
      <c r="B65" s="14">
        <v>453.14120000000003</v>
      </c>
      <c r="C65" s="14">
        <v>703.6431</v>
      </c>
      <c r="D65" s="14">
        <v>729.29190000000006</v>
      </c>
      <c r="E65" s="14">
        <v>685.23379999999997</v>
      </c>
    </row>
    <row r="66" spans="1:5">
      <c r="A66" s="12">
        <f t="shared" si="0"/>
        <v>45385</v>
      </c>
      <c r="B66" s="14">
        <v>453.27969999999999</v>
      </c>
      <c r="C66" s="14">
        <v>704.15369999999996</v>
      </c>
      <c r="D66" s="14">
        <v>732.3963</v>
      </c>
      <c r="E66" s="14">
        <v>685.46619999999996</v>
      </c>
    </row>
    <row r="67" spans="1:5">
      <c r="A67" s="12">
        <f t="shared" si="0"/>
        <v>45386</v>
      </c>
      <c r="B67" s="14">
        <v>453.41789999999997</v>
      </c>
      <c r="C67" s="14">
        <v>703.82920000000001</v>
      </c>
      <c r="D67" s="14">
        <v>733.08299999999997</v>
      </c>
      <c r="E67" s="14">
        <v>685.17240000000004</v>
      </c>
    </row>
    <row r="68" spans="1:5">
      <c r="A68" s="12">
        <f t="shared" ref="A68:A131" si="1">WORKDAY(A67,1,Días_festivos)</f>
        <v>45387</v>
      </c>
      <c r="B68" s="14">
        <v>453.55650000000003</v>
      </c>
      <c r="C68" s="14">
        <v>701.1413</v>
      </c>
      <c r="D68" s="14">
        <v>731.44299999999998</v>
      </c>
      <c r="E68" s="14">
        <v>683.48109999999997</v>
      </c>
    </row>
    <row r="69" spans="1:5">
      <c r="A69" s="12">
        <f t="shared" si="1"/>
        <v>45390</v>
      </c>
      <c r="B69" s="14">
        <v>453.97179999999997</v>
      </c>
      <c r="C69" s="14">
        <v>699.80470000000003</v>
      </c>
      <c r="D69" s="14">
        <v>729.42439999999999</v>
      </c>
      <c r="E69" s="14">
        <v>682.85699999999997</v>
      </c>
    </row>
    <row r="70" spans="1:5">
      <c r="A70" s="12">
        <f t="shared" si="1"/>
        <v>45391</v>
      </c>
      <c r="B70" s="14">
        <v>454.11070000000001</v>
      </c>
      <c r="C70" s="14">
        <v>701.12279999999998</v>
      </c>
      <c r="D70" s="14">
        <v>729.61109999999996</v>
      </c>
      <c r="E70" s="14">
        <v>684.08140000000003</v>
      </c>
    </row>
    <row r="71" spans="1:5">
      <c r="A71" s="12">
        <f t="shared" si="1"/>
        <v>45392</v>
      </c>
      <c r="B71" s="14">
        <v>454.24970000000002</v>
      </c>
      <c r="C71" s="14">
        <v>694.0992</v>
      </c>
      <c r="D71" s="14">
        <v>719.78750000000002</v>
      </c>
      <c r="E71" s="14">
        <v>679.54510000000005</v>
      </c>
    </row>
    <row r="72" spans="1:5">
      <c r="A72" s="12">
        <f t="shared" si="1"/>
        <v>45393</v>
      </c>
      <c r="B72" s="14">
        <v>454.38889999999998</v>
      </c>
      <c r="C72" s="14">
        <v>695.48080000000004</v>
      </c>
      <c r="D72" s="14">
        <v>719.46109999999999</v>
      </c>
      <c r="E72" s="14">
        <v>681.22879999999998</v>
      </c>
    </row>
    <row r="73" spans="1:5">
      <c r="A73" s="12">
        <f t="shared" si="1"/>
        <v>45394</v>
      </c>
      <c r="B73" s="14">
        <v>454.52780000000001</v>
      </c>
      <c r="C73" s="14">
        <v>695.81460000000004</v>
      </c>
      <c r="D73" s="14">
        <v>716.62059999999997</v>
      </c>
      <c r="E73" s="14">
        <v>681.23469999999998</v>
      </c>
    </row>
    <row r="74" spans="1:5">
      <c r="A74" s="12">
        <f t="shared" si="1"/>
        <v>45397</v>
      </c>
      <c r="B74" s="14">
        <v>454.94450000000001</v>
      </c>
      <c r="C74" s="14">
        <v>692.23829999999998</v>
      </c>
      <c r="D74" s="14">
        <v>709.45140000000004</v>
      </c>
      <c r="E74" s="14">
        <v>679.59730000000002</v>
      </c>
    </row>
    <row r="75" spans="1:5">
      <c r="A75" s="12">
        <f t="shared" si="1"/>
        <v>45398</v>
      </c>
      <c r="B75" s="14">
        <v>455.08350000000002</v>
      </c>
      <c r="C75" s="14">
        <v>688.70609999999999</v>
      </c>
      <c r="D75" s="14">
        <v>700.62519999999995</v>
      </c>
      <c r="E75" s="14">
        <v>677.51</v>
      </c>
    </row>
    <row r="76" spans="1:5">
      <c r="A76" s="12">
        <f t="shared" si="1"/>
        <v>45399</v>
      </c>
      <c r="B76" s="14">
        <v>455.22250000000003</v>
      </c>
      <c r="C76" s="14">
        <v>692.58780000000002</v>
      </c>
      <c r="D76" s="14">
        <v>703.68119999999999</v>
      </c>
      <c r="E76" s="14">
        <v>679.83969999999999</v>
      </c>
    </row>
    <row r="77" spans="1:5">
      <c r="A77" s="12">
        <f t="shared" si="1"/>
        <v>45400</v>
      </c>
      <c r="B77" s="14">
        <v>455.36160000000001</v>
      </c>
      <c r="C77" s="14">
        <v>692.40940000000001</v>
      </c>
      <c r="D77" s="14">
        <v>701.18190000000004</v>
      </c>
      <c r="E77" s="14">
        <v>679.69889999999998</v>
      </c>
    </row>
    <row r="78" spans="1:5">
      <c r="A78" s="12">
        <f t="shared" si="1"/>
        <v>45401</v>
      </c>
      <c r="B78" s="14">
        <v>455.50080000000003</v>
      </c>
      <c r="C78" s="14">
        <v>695.89700000000005</v>
      </c>
      <c r="D78" s="14">
        <v>704.59220000000005</v>
      </c>
      <c r="E78" s="14">
        <v>682.07690000000002</v>
      </c>
    </row>
    <row r="79" spans="1:5">
      <c r="A79" s="12">
        <f t="shared" si="1"/>
        <v>45404</v>
      </c>
      <c r="B79" s="14">
        <v>455.9187</v>
      </c>
      <c r="C79" s="14">
        <v>694.57860000000005</v>
      </c>
      <c r="D79" s="14">
        <v>703.46379999999999</v>
      </c>
      <c r="E79" s="14">
        <v>681.39949999999999</v>
      </c>
    </row>
    <row r="80" spans="1:5">
      <c r="A80" s="12">
        <f t="shared" si="1"/>
        <v>45405</v>
      </c>
      <c r="B80" s="14">
        <v>456.05810000000002</v>
      </c>
      <c r="C80" s="14">
        <v>694.72349999999994</v>
      </c>
      <c r="D80" s="14">
        <v>702.14769999999999</v>
      </c>
      <c r="E80" s="14">
        <v>681.69920000000002</v>
      </c>
    </row>
    <row r="81" spans="1:5">
      <c r="A81" s="12">
        <f t="shared" si="1"/>
        <v>45406</v>
      </c>
      <c r="B81" s="14">
        <v>456.19740000000002</v>
      </c>
      <c r="C81" s="14">
        <v>693.66549999999995</v>
      </c>
      <c r="D81" s="14">
        <v>703.78890000000001</v>
      </c>
      <c r="E81" s="14">
        <v>680.68259999999998</v>
      </c>
    </row>
    <row r="82" spans="1:5">
      <c r="A82" s="12">
        <f t="shared" si="1"/>
        <v>45407</v>
      </c>
      <c r="B82" s="14">
        <v>456.33659999999998</v>
      </c>
      <c r="C82" s="14">
        <v>692.73919999999998</v>
      </c>
      <c r="D82" s="14">
        <v>703.54819999999995</v>
      </c>
      <c r="E82" s="14">
        <v>680.08450000000005</v>
      </c>
    </row>
    <row r="83" spans="1:5">
      <c r="A83" s="12">
        <f t="shared" si="1"/>
        <v>45408</v>
      </c>
      <c r="B83" s="14">
        <v>456.476</v>
      </c>
      <c r="C83" s="14">
        <v>692.68600000000004</v>
      </c>
      <c r="D83" s="14">
        <v>704.36770000000001</v>
      </c>
      <c r="E83" s="14">
        <v>680.31600000000003</v>
      </c>
    </row>
    <row r="84" spans="1:5">
      <c r="A84" s="12">
        <f t="shared" si="1"/>
        <v>45411</v>
      </c>
      <c r="B84" s="14">
        <v>456.89490000000001</v>
      </c>
      <c r="C84" s="14">
        <v>693.88250000000005</v>
      </c>
      <c r="D84" s="14">
        <v>703.37429999999995</v>
      </c>
      <c r="E84" s="14">
        <v>681.23159999999996</v>
      </c>
    </row>
    <row r="85" spans="1:5">
      <c r="A85" s="12">
        <f t="shared" si="1"/>
        <v>45412</v>
      </c>
      <c r="B85" s="14">
        <v>457.03519999999997</v>
      </c>
      <c r="C85" s="14">
        <v>693.54129999999998</v>
      </c>
      <c r="D85" s="14">
        <v>706.08699999999999</v>
      </c>
      <c r="E85" s="14">
        <v>680.92250000000001</v>
      </c>
    </row>
    <row r="86" spans="1:5">
      <c r="A86" s="12">
        <f t="shared" si="1"/>
        <v>45414</v>
      </c>
      <c r="B86" s="14">
        <v>457.31529999999998</v>
      </c>
      <c r="C86" s="14">
        <v>700.52930000000003</v>
      </c>
      <c r="D86" s="14">
        <v>710.87540000000001</v>
      </c>
      <c r="E86" s="14">
        <v>685.52120000000002</v>
      </c>
    </row>
    <row r="87" spans="1:5">
      <c r="A87" s="12">
        <f t="shared" si="1"/>
        <v>45415</v>
      </c>
      <c r="B87" s="14">
        <v>457.45569999999998</v>
      </c>
      <c r="C87" s="14">
        <v>705.43700000000001</v>
      </c>
      <c r="D87" s="14">
        <v>715.62630000000001</v>
      </c>
      <c r="E87" s="14">
        <v>688.87339999999995</v>
      </c>
    </row>
    <row r="88" spans="1:5">
      <c r="A88" s="12">
        <f t="shared" si="1"/>
        <v>45418</v>
      </c>
      <c r="B88" s="14">
        <v>457.87540000000001</v>
      </c>
      <c r="C88" s="14">
        <v>705.26509999999996</v>
      </c>
      <c r="D88" s="14">
        <v>720.09889999999996</v>
      </c>
      <c r="E88" s="14">
        <v>689.12120000000004</v>
      </c>
    </row>
    <row r="89" spans="1:5">
      <c r="A89" s="12">
        <f t="shared" si="1"/>
        <v>45419</v>
      </c>
      <c r="B89" s="14">
        <v>458.0154</v>
      </c>
      <c r="C89" s="14">
        <v>705.05679999999995</v>
      </c>
      <c r="D89" s="14">
        <v>721.8365</v>
      </c>
      <c r="E89" s="14">
        <v>688.79920000000004</v>
      </c>
    </row>
    <row r="90" spans="1:5">
      <c r="A90" s="12">
        <f t="shared" si="1"/>
        <v>45420</v>
      </c>
      <c r="B90" s="14">
        <v>458.15550000000002</v>
      </c>
      <c r="C90" s="14">
        <v>704.85699999999997</v>
      </c>
      <c r="D90" s="14">
        <v>726.03489999999999</v>
      </c>
      <c r="E90" s="14">
        <v>688.77080000000001</v>
      </c>
    </row>
    <row r="91" spans="1:5">
      <c r="A91" s="12">
        <f t="shared" si="1"/>
        <v>45421</v>
      </c>
      <c r="B91" s="14">
        <v>458.29570000000001</v>
      </c>
      <c r="C91" s="14">
        <v>705.64089999999999</v>
      </c>
      <c r="D91" s="14">
        <v>726.76430000000005</v>
      </c>
      <c r="E91" s="14">
        <v>689.36189999999999</v>
      </c>
    </row>
    <row r="92" spans="1:5">
      <c r="A92" s="12">
        <f t="shared" si="1"/>
        <v>45422</v>
      </c>
      <c r="B92" s="14">
        <v>458.43599999999998</v>
      </c>
      <c r="C92" s="14">
        <v>702.0104</v>
      </c>
      <c r="D92" s="14">
        <v>721.0068</v>
      </c>
      <c r="E92" s="14">
        <v>686.76139999999998</v>
      </c>
    </row>
    <row r="93" spans="1:5">
      <c r="A93" s="12">
        <f t="shared" si="1"/>
        <v>45425</v>
      </c>
      <c r="B93" s="14">
        <v>458.85700000000003</v>
      </c>
      <c r="C93" s="14">
        <v>702.19479999999999</v>
      </c>
      <c r="D93" s="14">
        <v>721.2038</v>
      </c>
      <c r="E93" s="14">
        <v>687.23140000000001</v>
      </c>
    </row>
    <row r="94" spans="1:5">
      <c r="A94" s="12">
        <f t="shared" si="1"/>
        <v>45426</v>
      </c>
      <c r="B94" s="14">
        <v>458.99759999999998</v>
      </c>
      <c r="C94" s="14">
        <v>703.35260000000005</v>
      </c>
      <c r="D94" s="14">
        <v>722.13109999999995</v>
      </c>
      <c r="E94" s="14">
        <v>688.40940000000001</v>
      </c>
    </row>
    <row r="95" spans="1:5">
      <c r="A95" s="12">
        <f t="shared" si="1"/>
        <v>45427</v>
      </c>
      <c r="B95" s="14">
        <v>459.13839999999999</v>
      </c>
      <c r="C95" s="14">
        <v>706.55830000000003</v>
      </c>
      <c r="D95" s="14">
        <v>727.1694</v>
      </c>
      <c r="E95" s="14">
        <v>690.65480000000002</v>
      </c>
    </row>
    <row r="96" spans="1:5">
      <c r="A96" s="12">
        <f t="shared" si="1"/>
        <v>45428</v>
      </c>
      <c r="B96" s="14">
        <v>459.27870000000001</v>
      </c>
      <c r="C96" s="14">
        <v>705.47199999999998</v>
      </c>
      <c r="D96" s="14">
        <v>721.54939999999999</v>
      </c>
      <c r="E96" s="14">
        <v>689.96199999999999</v>
      </c>
    </row>
    <row r="97" spans="1:5">
      <c r="A97" s="12">
        <f t="shared" si="1"/>
        <v>45429</v>
      </c>
      <c r="B97" s="14">
        <v>459.41899999999998</v>
      </c>
      <c r="C97" s="14">
        <v>704.98940000000005</v>
      </c>
      <c r="D97" s="14">
        <v>721.31020000000001</v>
      </c>
      <c r="E97" s="14">
        <v>689.79600000000005</v>
      </c>
    </row>
    <row r="98" spans="1:5">
      <c r="A98" s="12">
        <f t="shared" si="1"/>
        <v>45432</v>
      </c>
      <c r="B98" s="14">
        <v>459.84010000000001</v>
      </c>
      <c r="C98" s="14">
        <v>705.15790000000004</v>
      </c>
      <c r="D98" s="14">
        <v>721.89089999999999</v>
      </c>
      <c r="E98" s="14">
        <v>690.13300000000004</v>
      </c>
    </row>
    <row r="99" spans="1:5">
      <c r="A99" s="12">
        <f t="shared" si="1"/>
        <v>45433</v>
      </c>
      <c r="B99" s="14">
        <v>459.98070000000001</v>
      </c>
      <c r="C99" s="14">
        <v>704.69399999999996</v>
      </c>
      <c r="D99" s="14">
        <v>713.60220000000004</v>
      </c>
      <c r="E99" s="14">
        <v>690.08249999999998</v>
      </c>
    </row>
    <row r="100" spans="1:5">
      <c r="A100" s="12">
        <f t="shared" si="1"/>
        <v>45434</v>
      </c>
      <c r="B100" s="14">
        <v>460.12119999999999</v>
      </c>
      <c r="C100" s="14">
        <v>704.19410000000005</v>
      </c>
      <c r="D100" s="14">
        <v>711.52880000000005</v>
      </c>
      <c r="E100" s="14">
        <v>689.92280000000005</v>
      </c>
    </row>
    <row r="101" spans="1:5">
      <c r="A101" s="12">
        <f t="shared" si="1"/>
        <v>45435</v>
      </c>
      <c r="B101" s="14">
        <v>460.26179999999999</v>
      </c>
      <c r="C101" s="14">
        <v>703.90089999999998</v>
      </c>
      <c r="D101" s="14">
        <v>713.91909999999996</v>
      </c>
      <c r="E101" s="14">
        <v>689.59349999999995</v>
      </c>
    </row>
    <row r="102" spans="1:5">
      <c r="A102" s="12">
        <f t="shared" si="1"/>
        <v>45436</v>
      </c>
      <c r="B102" s="14">
        <v>460.4024</v>
      </c>
      <c r="C102" s="14">
        <v>704.62030000000004</v>
      </c>
      <c r="D102" s="14">
        <v>713.56119999999999</v>
      </c>
      <c r="E102" s="14">
        <v>690.06960000000004</v>
      </c>
    </row>
    <row r="103" spans="1:5">
      <c r="A103" s="12">
        <f t="shared" si="1"/>
        <v>45439</v>
      </c>
      <c r="B103" s="14">
        <v>460.8245</v>
      </c>
      <c r="C103" s="14">
        <v>705.12120000000004</v>
      </c>
      <c r="D103" s="14">
        <v>713.79849999999999</v>
      </c>
      <c r="E103" s="14">
        <v>690.72410000000002</v>
      </c>
    </row>
    <row r="104" spans="1:5">
      <c r="A104" s="12">
        <f t="shared" si="1"/>
        <v>45440</v>
      </c>
      <c r="B104" s="14">
        <v>460.96539999999999</v>
      </c>
      <c r="C104" s="14">
        <v>704.09490000000005</v>
      </c>
      <c r="D104" s="14">
        <v>714.78520000000003</v>
      </c>
      <c r="E104" s="14">
        <v>690.00350000000003</v>
      </c>
    </row>
    <row r="105" spans="1:5">
      <c r="A105" s="12">
        <f t="shared" si="1"/>
        <v>45441</v>
      </c>
      <c r="B105" s="14">
        <v>461.1062</v>
      </c>
      <c r="C105" s="14">
        <v>703.12789999999995</v>
      </c>
      <c r="D105" s="14">
        <v>718.8922</v>
      </c>
      <c r="E105" s="14">
        <v>689.47910000000002</v>
      </c>
    </row>
    <row r="106" spans="1:5">
      <c r="A106" s="12">
        <f t="shared" si="1"/>
        <v>45442</v>
      </c>
      <c r="B106" s="14">
        <v>461.24700000000001</v>
      </c>
      <c r="C106" s="14">
        <v>703.68050000000005</v>
      </c>
      <c r="D106" s="14">
        <v>721.95360000000005</v>
      </c>
      <c r="E106" s="14">
        <v>689.83669999999995</v>
      </c>
    </row>
    <row r="107" spans="1:5">
      <c r="A107" s="12">
        <f t="shared" si="1"/>
        <v>45443</v>
      </c>
      <c r="B107" s="14">
        <v>461.38869999999997</v>
      </c>
      <c r="C107" s="14">
        <v>705.20780000000002</v>
      </c>
      <c r="D107" s="14">
        <v>722.00419999999997</v>
      </c>
      <c r="E107" s="14">
        <v>690.88250000000005</v>
      </c>
    </row>
    <row r="108" spans="1:5">
      <c r="A108" s="12">
        <f t="shared" si="1"/>
        <v>45446</v>
      </c>
      <c r="B108" s="14">
        <v>461.81240000000003</v>
      </c>
      <c r="C108" s="14">
        <v>700.56740000000002</v>
      </c>
      <c r="D108" s="14">
        <v>711.75829999999996</v>
      </c>
      <c r="E108" s="14">
        <v>688.38980000000004</v>
      </c>
    </row>
    <row r="109" spans="1:5">
      <c r="A109" s="12">
        <f t="shared" si="1"/>
        <v>45447</v>
      </c>
      <c r="B109" s="14">
        <v>461.95370000000003</v>
      </c>
      <c r="C109" s="14">
        <v>700.84109999999998</v>
      </c>
      <c r="D109" s="14">
        <v>710.02570000000003</v>
      </c>
      <c r="E109" s="14">
        <v>688.67219999999998</v>
      </c>
    </row>
    <row r="110" spans="1:5">
      <c r="A110" s="12">
        <f t="shared" si="1"/>
        <v>45448</v>
      </c>
      <c r="B110" s="14">
        <v>462.09480000000002</v>
      </c>
      <c r="C110" s="14">
        <v>704.49009999999998</v>
      </c>
      <c r="D110" s="14">
        <v>717.56389999999999</v>
      </c>
      <c r="E110" s="14">
        <v>691.15610000000004</v>
      </c>
    </row>
    <row r="111" spans="1:5">
      <c r="A111" s="12">
        <f t="shared" si="1"/>
        <v>45449</v>
      </c>
      <c r="B111" s="14">
        <v>462.23570000000001</v>
      </c>
      <c r="C111" s="14">
        <v>706.21720000000005</v>
      </c>
      <c r="D111" s="14">
        <v>722.66819999999996</v>
      </c>
      <c r="E111" s="14">
        <v>692.61300000000006</v>
      </c>
    </row>
    <row r="112" spans="1:5">
      <c r="A112" s="12">
        <f t="shared" si="1"/>
        <v>45450</v>
      </c>
      <c r="B112" s="14">
        <v>462.37670000000003</v>
      </c>
      <c r="C112" s="14">
        <v>694.17359999999996</v>
      </c>
      <c r="D112" s="14">
        <v>705.9701</v>
      </c>
      <c r="E112" s="14">
        <v>685.32150000000001</v>
      </c>
    </row>
    <row r="113" spans="1:5">
      <c r="A113" s="12">
        <f t="shared" si="1"/>
        <v>45453</v>
      </c>
      <c r="B113" s="14">
        <v>462.80059999999997</v>
      </c>
      <c r="C113" s="14">
        <v>694.80769999999995</v>
      </c>
      <c r="D113" s="14">
        <v>708.51009999999997</v>
      </c>
      <c r="E113" s="14">
        <v>685.79790000000003</v>
      </c>
    </row>
    <row r="114" spans="1:5">
      <c r="A114" s="12">
        <f t="shared" si="1"/>
        <v>45454</v>
      </c>
      <c r="B114" s="14">
        <v>462.94200000000001</v>
      </c>
      <c r="C114" s="14">
        <v>689.29629999999997</v>
      </c>
      <c r="D114" s="14">
        <v>702.10829999999999</v>
      </c>
      <c r="E114" s="14">
        <v>682.36940000000004</v>
      </c>
    </row>
    <row r="115" spans="1:5">
      <c r="A115" s="12">
        <f t="shared" si="1"/>
        <v>45455</v>
      </c>
      <c r="B115" s="14">
        <v>463.08330000000001</v>
      </c>
      <c r="C115" s="14">
        <v>690.43870000000004</v>
      </c>
      <c r="D115" s="14">
        <v>702.96420000000001</v>
      </c>
      <c r="E115" s="14">
        <v>682.91110000000003</v>
      </c>
    </row>
    <row r="116" spans="1:5">
      <c r="A116" s="12">
        <f t="shared" si="1"/>
        <v>45456</v>
      </c>
      <c r="B116" s="14">
        <v>463.22480000000002</v>
      </c>
      <c r="C116" s="14">
        <v>697.96140000000003</v>
      </c>
      <c r="D116" s="14">
        <v>706.49189999999999</v>
      </c>
      <c r="E116" s="14">
        <v>687.68129999999996</v>
      </c>
    </row>
    <row r="117" spans="1:5">
      <c r="A117" s="12">
        <f t="shared" si="1"/>
        <v>45457</v>
      </c>
      <c r="B117" s="14">
        <v>463.36619999999999</v>
      </c>
      <c r="C117" s="14">
        <v>695.81569999999999</v>
      </c>
      <c r="D117" s="14">
        <v>702.14610000000005</v>
      </c>
      <c r="E117" s="14">
        <v>686.27260000000001</v>
      </c>
    </row>
    <row r="118" spans="1:5">
      <c r="A118" s="12">
        <f t="shared" si="1"/>
        <v>45460</v>
      </c>
      <c r="B118" s="14">
        <v>463.79059999999998</v>
      </c>
      <c r="C118" s="14">
        <v>694.20100000000002</v>
      </c>
      <c r="D118" s="14">
        <v>696.80679999999995</v>
      </c>
      <c r="E118" s="14">
        <v>685.61009999999999</v>
      </c>
    </row>
    <row r="119" spans="1:5">
      <c r="A119" s="12">
        <f t="shared" si="1"/>
        <v>45461</v>
      </c>
      <c r="B119" s="14">
        <v>463.93220000000002</v>
      </c>
      <c r="C119" s="14">
        <v>699.77260000000001</v>
      </c>
      <c r="D119" s="14">
        <v>701.70759999999996</v>
      </c>
      <c r="E119" s="14">
        <v>689.45619999999997</v>
      </c>
    </row>
    <row r="120" spans="1:5">
      <c r="A120" s="12">
        <f t="shared" si="1"/>
        <v>45462</v>
      </c>
      <c r="B120" s="14">
        <v>464.07389999999998</v>
      </c>
      <c r="C120" s="14">
        <v>700.25549999999998</v>
      </c>
      <c r="D120" s="14">
        <v>703.43510000000003</v>
      </c>
      <c r="E120" s="14">
        <v>689.62649999999996</v>
      </c>
    </row>
    <row r="121" spans="1:5">
      <c r="A121" s="12">
        <f t="shared" si="1"/>
        <v>45463</v>
      </c>
      <c r="B121" s="14">
        <v>464.21570000000003</v>
      </c>
      <c r="C121" s="14">
        <v>701.57150000000001</v>
      </c>
      <c r="D121" s="14">
        <v>705.09079999999994</v>
      </c>
      <c r="E121" s="14">
        <v>690.65129999999999</v>
      </c>
    </row>
    <row r="122" spans="1:5">
      <c r="A122" s="12">
        <f t="shared" si="1"/>
        <v>45464</v>
      </c>
      <c r="B122" s="14">
        <v>464.35759999999999</v>
      </c>
      <c r="C122" s="14">
        <v>702.01089999999999</v>
      </c>
      <c r="D122" s="14">
        <v>706.45529999999997</v>
      </c>
      <c r="E122" s="14">
        <v>691.49810000000002</v>
      </c>
    </row>
    <row r="123" spans="1:5">
      <c r="A123" s="12">
        <f t="shared" si="1"/>
        <v>45467</v>
      </c>
      <c r="B123" s="14">
        <v>464.78320000000002</v>
      </c>
      <c r="C123" s="14">
        <v>704.66660000000002</v>
      </c>
      <c r="D123" s="14">
        <v>711.61350000000004</v>
      </c>
      <c r="E123" s="14">
        <v>693.64890000000003</v>
      </c>
    </row>
    <row r="124" spans="1:5">
      <c r="A124" s="12">
        <f t="shared" si="1"/>
        <v>45468</v>
      </c>
      <c r="B124" s="14">
        <v>464.92540000000002</v>
      </c>
      <c r="C124" s="14">
        <v>704.8442</v>
      </c>
      <c r="D124" s="14">
        <v>712.00819999999999</v>
      </c>
      <c r="E124" s="14">
        <v>693.87929999999994</v>
      </c>
    </row>
    <row r="125" spans="1:5">
      <c r="A125" s="12">
        <f t="shared" si="1"/>
        <v>45469</v>
      </c>
      <c r="B125" s="14">
        <v>465.0677</v>
      </c>
      <c r="C125" s="14">
        <v>704.05240000000003</v>
      </c>
      <c r="D125" s="14">
        <v>713.30679999999995</v>
      </c>
      <c r="E125" s="14">
        <v>693.51829999999995</v>
      </c>
    </row>
    <row r="126" spans="1:5">
      <c r="A126" s="12">
        <f t="shared" si="1"/>
        <v>45470</v>
      </c>
      <c r="B126" s="14">
        <v>465.21010000000001</v>
      </c>
      <c r="C126" s="14">
        <v>706.09059999999999</v>
      </c>
      <c r="D126" s="14">
        <v>716.48389999999995</v>
      </c>
      <c r="E126" s="14">
        <v>694.851</v>
      </c>
    </row>
    <row r="127" spans="1:5">
      <c r="A127" s="12">
        <f t="shared" si="1"/>
        <v>45471</v>
      </c>
      <c r="B127" s="14">
        <v>465.6404</v>
      </c>
      <c r="C127" s="14">
        <v>707.16880000000003</v>
      </c>
      <c r="D127" s="14">
        <v>721.5915</v>
      </c>
      <c r="E127" s="14">
        <v>695.65719999999999</v>
      </c>
    </row>
    <row r="128" spans="1:5">
      <c r="A128" s="12">
        <f t="shared" si="1"/>
        <v>45474</v>
      </c>
      <c r="B128" s="14">
        <v>465.78370000000001</v>
      </c>
      <c r="C128" s="14">
        <v>704.44320000000005</v>
      </c>
      <c r="D128" s="14">
        <v>717.84280000000001</v>
      </c>
      <c r="E128" s="14">
        <v>694.32619999999997</v>
      </c>
    </row>
    <row r="129" spans="1:5">
      <c r="A129" s="12">
        <f t="shared" si="1"/>
        <v>45475</v>
      </c>
      <c r="B129" s="14">
        <v>465.92649999999998</v>
      </c>
      <c r="C129" s="14">
        <v>703.70749999999998</v>
      </c>
      <c r="D129" s="14">
        <v>715.07150000000001</v>
      </c>
      <c r="E129" s="14">
        <v>694.26559999999995</v>
      </c>
    </row>
    <row r="130" spans="1:5">
      <c r="A130" s="12">
        <f t="shared" si="1"/>
        <v>45476</v>
      </c>
      <c r="B130" s="14">
        <v>466.06889999999999</v>
      </c>
      <c r="C130" s="14">
        <v>705.33339999999998</v>
      </c>
      <c r="D130" s="14">
        <v>713.49189999999999</v>
      </c>
      <c r="E130" s="14">
        <v>695.41740000000004</v>
      </c>
    </row>
    <row r="131" spans="1:5">
      <c r="A131" s="12">
        <f t="shared" si="1"/>
        <v>45477</v>
      </c>
      <c r="B131" s="14">
        <v>466.21129999999999</v>
      </c>
      <c r="C131" s="14">
        <v>703.95500000000004</v>
      </c>
      <c r="D131" s="14">
        <v>713.53200000000004</v>
      </c>
      <c r="E131" s="14">
        <v>694.78719999999998</v>
      </c>
    </row>
    <row r="132" spans="1:5">
      <c r="A132" s="12">
        <f t="shared" ref="A132:A195" si="2">WORKDAY(A131,1,Días_festivos)</f>
        <v>45478</v>
      </c>
      <c r="B132" s="14">
        <v>466.35379999999998</v>
      </c>
      <c r="C132" s="14">
        <v>705.08489999999995</v>
      </c>
      <c r="D132" s="14">
        <v>713.19259999999997</v>
      </c>
      <c r="E132" s="14">
        <v>695.57629999999995</v>
      </c>
    </row>
    <row r="133" spans="1:5">
      <c r="A133" s="12">
        <f t="shared" si="2"/>
        <v>45481</v>
      </c>
      <c r="B133" s="14">
        <v>466.78129999999999</v>
      </c>
      <c r="C133" s="14">
        <v>705.87879999999996</v>
      </c>
      <c r="D133" s="14">
        <v>714.23140000000001</v>
      </c>
      <c r="E133" s="14">
        <v>696.25800000000004</v>
      </c>
    </row>
    <row r="134" spans="1:5">
      <c r="A134" s="12">
        <f t="shared" si="2"/>
        <v>45482</v>
      </c>
      <c r="B134" s="14">
        <v>466.9239</v>
      </c>
      <c r="C134" s="14">
        <v>705.17819999999995</v>
      </c>
      <c r="D134" s="14">
        <v>714.16420000000005</v>
      </c>
      <c r="E134" s="14">
        <v>696.04079999999999</v>
      </c>
    </row>
    <row r="135" spans="1:5">
      <c r="A135" s="12">
        <f t="shared" si="2"/>
        <v>45483</v>
      </c>
      <c r="B135" s="14">
        <v>467.06659999999999</v>
      </c>
      <c r="C135" s="14">
        <v>708.28539999999998</v>
      </c>
      <c r="D135" s="14">
        <v>715.89250000000004</v>
      </c>
      <c r="E135" s="14">
        <v>698.31769999999995</v>
      </c>
    </row>
    <row r="136" spans="1:5">
      <c r="A136" s="12">
        <f t="shared" si="2"/>
        <v>45484</v>
      </c>
      <c r="B136" s="14">
        <v>467.20929999999998</v>
      </c>
      <c r="C136" s="14">
        <v>712.20579999999995</v>
      </c>
      <c r="D136" s="14">
        <v>722.50450000000001</v>
      </c>
      <c r="E136" s="14">
        <v>701.18430000000001</v>
      </c>
    </row>
    <row r="137" spans="1:5">
      <c r="A137" s="12">
        <f t="shared" si="2"/>
        <v>45485</v>
      </c>
      <c r="B137" s="14">
        <v>467.35199999999998</v>
      </c>
      <c r="C137" s="14">
        <v>713.08789999999999</v>
      </c>
      <c r="D137" s="14">
        <v>723.03309999999999</v>
      </c>
      <c r="E137" s="14">
        <v>701.98429999999996</v>
      </c>
    </row>
    <row r="138" spans="1:5">
      <c r="A138" s="12">
        <f t="shared" si="2"/>
        <v>45488</v>
      </c>
      <c r="B138" s="14">
        <v>467.78039999999999</v>
      </c>
      <c r="C138" s="14">
        <v>713.28060000000005</v>
      </c>
      <c r="D138" s="14">
        <v>723.49680000000001</v>
      </c>
      <c r="E138" s="14">
        <v>702.56479999999999</v>
      </c>
    </row>
    <row r="139" spans="1:5">
      <c r="A139" s="12">
        <f t="shared" si="2"/>
        <v>45489</v>
      </c>
      <c r="B139" s="14">
        <v>467.92340000000002</v>
      </c>
      <c r="C139" s="14">
        <v>715.01750000000004</v>
      </c>
      <c r="D139" s="14">
        <v>724.60500000000002</v>
      </c>
      <c r="E139" s="14">
        <v>703.39300000000003</v>
      </c>
    </row>
    <row r="140" spans="1:5">
      <c r="A140" s="12">
        <f t="shared" si="2"/>
        <v>45490</v>
      </c>
      <c r="B140" s="14">
        <v>468.06630000000001</v>
      </c>
      <c r="C140" s="14">
        <v>714.10820000000001</v>
      </c>
      <c r="D140" s="14">
        <v>726.26409999999998</v>
      </c>
      <c r="E140" s="14">
        <v>702.31290000000001</v>
      </c>
    </row>
    <row r="141" spans="1:5">
      <c r="A141" s="12">
        <f t="shared" si="2"/>
        <v>45491</v>
      </c>
      <c r="B141" s="14">
        <v>468.20940000000002</v>
      </c>
      <c r="C141" s="14">
        <v>709.77909999999997</v>
      </c>
      <c r="D141" s="14">
        <v>722.21510000000001</v>
      </c>
      <c r="E141" s="14">
        <v>700.46460000000002</v>
      </c>
    </row>
    <row r="142" spans="1:5">
      <c r="A142" s="12">
        <f t="shared" si="2"/>
        <v>45492</v>
      </c>
      <c r="B142" s="14">
        <v>468.35239999999999</v>
      </c>
      <c r="C142" s="14">
        <v>707.23929999999996</v>
      </c>
      <c r="D142" s="14">
        <v>719.99670000000003</v>
      </c>
      <c r="E142" s="14">
        <v>699.18380000000002</v>
      </c>
    </row>
    <row r="143" spans="1:5">
      <c r="A143" s="12">
        <f t="shared" si="2"/>
        <v>45495</v>
      </c>
      <c r="B143" s="14">
        <v>468.78210000000001</v>
      </c>
      <c r="C143" s="14">
        <v>708.41200000000003</v>
      </c>
      <c r="D143" s="14">
        <v>720.08879999999999</v>
      </c>
      <c r="E143" s="14">
        <v>700.15769999999998</v>
      </c>
    </row>
    <row r="144" spans="1:5">
      <c r="A144" s="12">
        <f t="shared" si="2"/>
        <v>45496</v>
      </c>
      <c r="B144" s="14">
        <v>468.92570000000001</v>
      </c>
      <c r="C144" s="14">
        <v>706.76030000000003</v>
      </c>
      <c r="D144" s="14">
        <v>720.55370000000005</v>
      </c>
      <c r="E144" s="14">
        <v>699.21439999999996</v>
      </c>
    </row>
    <row r="145" spans="1:5">
      <c r="A145" s="12">
        <f t="shared" si="2"/>
        <v>45497</v>
      </c>
      <c r="B145" s="14">
        <v>469.06909999999999</v>
      </c>
      <c r="C145" s="14">
        <v>706.5367</v>
      </c>
      <c r="D145" s="14">
        <v>718.6558</v>
      </c>
      <c r="E145" s="14">
        <v>700.09310000000005</v>
      </c>
    </row>
    <row r="146" spans="1:5">
      <c r="A146" s="12">
        <f t="shared" si="2"/>
        <v>45498</v>
      </c>
      <c r="B146" s="14">
        <v>469.2124</v>
      </c>
      <c r="C146" s="14">
        <v>708.01009999999997</v>
      </c>
      <c r="D146" s="14">
        <v>717.15340000000003</v>
      </c>
      <c r="E146" s="14">
        <v>701.10389999999995</v>
      </c>
    </row>
    <row r="147" spans="1:5">
      <c r="A147" s="12">
        <f t="shared" si="2"/>
        <v>45499</v>
      </c>
      <c r="B147" s="14">
        <v>469.35590000000002</v>
      </c>
      <c r="C147" s="14">
        <v>711.40260000000001</v>
      </c>
      <c r="D147" s="14">
        <v>723.04110000000003</v>
      </c>
      <c r="E147" s="14">
        <v>702.86220000000003</v>
      </c>
    </row>
    <row r="148" spans="1:5">
      <c r="A148" s="12">
        <f t="shared" si="2"/>
        <v>45502</v>
      </c>
      <c r="B148" s="14">
        <v>469.78649999999999</v>
      </c>
      <c r="C148" s="14">
        <v>713.45680000000004</v>
      </c>
      <c r="D148" s="14">
        <v>725.6671</v>
      </c>
      <c r="E148" s="14">
        <v>704.18290000000002</v>
      </c>
    </row>
    <row r="149" spans="1:5">
      <c r="A149" s="12">
        <f t="shared" si="2"/>
        <v>45503</v>
      </c>
      <c r="B149" s="14">
        <v>469.93020000000001</v>
      </c>
      <c r="C149" s="14">
        <v>714.43730000000005</v>
      </c>
      <c r="D149" s="14">
        <v>726.68</v>
      </c>
      <c r="E149" s="14">
        <v>704.69809999999995</v>
      </c>
    </row>
    <row r="150" spans="1:5">
      <c r="A150" s="12">
        <f t="shared" si="2"/>
        <v>45504</v>
      </c>
      <c r="B150" s="14">
        <v>470.07440000000003</v>
      </c>
      <c r="C150" s="14">
        <v>716.57730000000004</v>
      </c>
      <c r="D150" s="14">
        <v>728.0797</v>
      </c>
      <c r="E150" s="14">
        <v>705.97929999999997</v>
      </c>
    </row>
    <row r="151" spans="1:5">
      <c r="A151" s="12">
        <f t="shared" si="2"/>
        <v>45505</v>
      </c>
      <c r="B151" s="14">
        <v>470.21809999999999</v>
      </c>
      <c r="C151" s="14">
        <v>715.22919999999999</v>
      </c>
      <c r="D151" s="14">
        <v>726.87490000000003</v>
      </c>
      <c r="E151" s="14">
        <v>705.20529999999997</v>
      </c>
    </row>
    <row r="152" spans="1:5">
      <c r="A152" s="12">
        <f t="shared" si="2"/>
        <v>45506</v>
      </c>
      <c r="B152" s="14">
        <v>470.36180000000002</v>
      </c>
      <c r="C152" s="14">
        <v>720.54610000000002</v>
      </c>
      <c r="D152" s="14">
        <v>733.06479999999999</v>
      </c>
      <c r="E152" s="14">
        <v>709.26170000000002</v>
      </c>
    </row>
    <row r="153" spans="1:5">
      <c r="A153" s="12">
        <f t="shared" si="2"/>
        <v>45509</v>
      </c>
      <c r="B153" s="14">
        <v>470.79329999999999</v>
      </c>
      <c r="C153" s="14">
        <v>720.05600000000004</v>
      </c>
      <c r="D153" s="14">
        <v>732.93709999999999</v>
      </c>
      <c r="E153" s="14">
        <v>708.86450000000002</v>
      </c>
    </row>
    <row r="154" spans="1:5">
      <c r="A154" s="12">
        <f t="shared" si="2"/>
        <v>45510</v>
      </c>
      <c r="B154" s="14">
        <v>470.93720000000002</v>
      </c>
      <c r="C154" s="14">
        <v>717.64329999999995</v>
      </c>
      <c r="D154" s="14">
        <v>733.11030000000005</v>
      </c>
      <c r="E154" s="14">
        <v>707.70330000000001</v>
      </c>
    </row>
    <row r="155" spans="1:5">
      <c r="A155" s="12">
        <f t="shared" si="2"/>
        <v>45511</v>
      </c>
      <c r="B155" s="14">
        <v>471.08109999999999</v>
      </c>
      <c r="C155" s="14">
        <v>721.17660000000001</v>
      </c>
      <c r="D155" s="14">
        <v>738.06949999999995</v>
      </c>
      <c r="E155" s="14">
        <v>710.20870000000002</v>
      </c>
    </row>
    <row r="156" spans="1:5">
      <c r="A156" s="12">
        <f t="shared" si="2"/>
        <v>45512</v>
      </c>
      <c r="B156" s="14">
        <v>471.22500000000002</v>
      </c>
      <c r="C156" s="14">
        <v>725.02660000000003</v>
      </c>
      <c r="D156" s="14">
        <v>748.00220000000002</v>
      </c>
      <c r="E156" s="14">
        <v>712.70370000000003</v>
      </c>
    </row>
    <row r="157" spans="1:5">
      <c r="A157" s="12">
        <f t="shared" si="2"/>
        <v>45513</v>
      </c>
      <c r="B157" s="14">
        <v>471.3657</v>
      </c>
      <c r="C157" s="14">
        <v>729.74400000000003</v>
      </c>
      <c r="D157" s="14">
        <v>756.43259999999998</v>
      </c>
      <c r="E157" s="14">
        <v>715.13670000000002</v>
      </c>
    </row>
    <row r="158" spans="1:5">
      <c r="A158" s="12">
        <f t="shared" si="2"/>
        <v>45516</v>
      </c>
      <c r="B158" s="14">
        <v>471.78800000000001</v>
      </c>
      <c r="C158" s="14">
        <v>728.91899999999998</v>
      </c>
      <c r="D158" s="14">
        <v>753.91579999999999</v>
      </c>
      <c r="E158" s="14">
        <v>714.80010000000004</v>
      </c>
    </row>
    <row r="159" spans="1:5">
      <c r="A159" s="12">
        <f t="shared" si="2"/>
        <v>45517</v>
      </c>
      <c r="B159" s="14">
        <v>471.9289</v>
      </c>
      <c r="C159" s="14">
        <v>729.19690000000003</v>
      </c>
      <c r="D159" s="14">
        <v>750.09159999999997</v>
      </c>
      <c r="E159" s="14">
        <v>714.85580000000004</v>
      </c>
    </row>
    <row r="160" spans="1:5">
      <c r="A160" s="12">
        <f t="shared" si="2"/>
        <v>45518</v>
      </c>
      <c r="B160" s="14">
        <v>472.06979999999999</v>
      </c>
      <c r="C160" s="14">
        <v>729.16790000000003</v>
      </c>
      <c r="D160" s="14">
        <v>751.34019999999998</v>
      </c>
      <c r="E160" s="14">
        <v>714.60410000000002</v>
      </c>
    </row>
    <row r="161" spans="1:5">
      <c r="A161" s="12">
        <f t="shared" si="2"/>
        <v>45519</v>
      </c>
      <c r="B161" s="14">
        <v>472.21080000000001</v>
      </c>
      <c r="C161" s="14">
        <v>727.86609999999996</v>
      </c>
      <c r="D161" s="14">
        <v>746.16089999999997</v>
      </c>
      <c r="E161" s="14">
        <v>713.54750000000001</v>
      </c>
    </row>
    <row r="162" spans="1:5">
      <c r="A162" s="12">
        <f t="shared" si="2"/>
        <v>45520</v>
      </c>
      <c r="B162" s="14">
        <v>472.35160000000002</v>
      </c>
      <c r="C162" s="14">
        <v>730.27499999999998</v>
      </c>
      <c r="D162" s="14">
        <v>746.34379999999999</v>
      </c>
      <c r="E162" s="14">
        <v>715.65020000000004</v>
      </c>
    </row>
    <row r="163" spans="1:5">
      <c r="A163" s="12">
        <f t="shared" si="2"/>
        <v>45523</v>
      </c>
      <c r="B163" s="14">
        <v>472.77440000000001</v>
      </c>
      <c r="C163" s="14">
        <v>730.1925</v>
      </c>
      <c r="D163" s="14">
        <v>746.65309999999999</v>
      </c>
      <c r="E163" s="14">
        <v>715.9896</v>
      </c>
    </row>
    <row r="164" spans="1:5">
      <c r="A164" s="12">
        <f t="shared" si="2"/>
        <v>45524</v>
      </c>
      <c r="B164" s="14">
        <v>472.91570000000002</v>
      </c>
      <c r="C164" s="14">
        <v>728.50959999999998</v>
      </c>
      <c r="D164" s="14">
        <v>741.81619999999998</v>
      </c>
      <c r="E164" s="14">
        <v>715.03219999999999</v>
      </c>
    </row>
    <row r="165" spans="1:5">
      <c r="A165" s="12">
        <f t="shared" si="2"/>
        <v>45525</v>
      </c>
      <c r="B165" s="14">
        <v>473.05700000000002</v>
      </c>
      <c r="C165" s="14">
        <v>728.30319999999995</v>
      </c>
      <c r="D165" s="14">
        <v>738.50829999999996</v>
      </c>
      <c r="E165" s="14">
        <v>715.28030000000001</v>
      </c>
    </row>
    <row r="166" spans="1:5">
      <c r="A166" s="12">
        <f t="shared" si="2"/>
        <v>45526</v>
      </c>
      <c r="B166" s="14">
        <v>473.19850000000002</v>
      </c>
      <c r="C166" s="14">
        <v>723.26649999999995</v>
      </c>
      <c r="D166" s="14">
        <v>731.93449999999996</v>
      </c>
      <c r="E166" s="14">
        <v>712.91639999999995</v>
      </c>
    </row>
    <row r="167" spans="1:5">
      <c r="A167" s="12">
        <f t="shared" si="2"/>
        <v>45527</v>
      </c>
      <c r="B167" s="14">
        <v>473.34010000000001</v>
      </c>
      <c r="C167" s="14">
        <v>728.94889999999998</v>
      </c>
      <c r="D167" s="14">
        <v>738.79870000000005</v>
      </c>
      <c r="E167" s="14">
        <v>716.70889999999997</v>
      </c>
    </row>
    <row r="168" spans="1:5">
      <c r="A168" s="12">
        <f t="shared" si="2"/>
        <v>45530</v>
      </c>
      <c r="B168" s="14">
        <v>473.76499999999999</v>
      </c>
      <c r="C168" s="14">
        <v>728.13070000000005</v>
      </c>
      <c r="D168" s="14">
        <v>736.33969999999999</v>
      </c>
      <c r="E168" s="14">
        <v>716.702</v>
      </c>
    </row>
    <row r="169" spans="1:5">
      <c r="A169" s="12">
        <f t="shared" si="2"/>
        <v>45531</v>
      </c>
      <c r="B169" s="14">
        <v>473.9067</v>
      </c>
      <c r="C169" s="14">
        <v>724.91269999999997</v>
      </c>
      <c r="D169" s="14">
        <v>730.93769999999995</v>
      </c>
      <c r="E169" s="14">
        <v>714.86120000000005</v>
      </c>
    </row>
    <row r="170" spans="1:5">
      <c r="A170" s="12">
        <f t="shared" si="2"/>
        <v>45532</v>
      </c>
      <c r="B170" s="14">
        <v>474.04849999999999</v>
      </c>
      <c r="C170" s="14">
        <v>724.61350000000004</v>
      </c>
      <c r="D170" s="14">
        <v>731.20809999999994</v>
      </c>
      <c r="E170" s="14">
        <v>714.95799999999997</v>
      </c>
    </row>
    <row r="171" spans="1:5">
      <c r="A171" s="12">
        <f t="shared" si="2"/>
        <v>45533</v>
      </c>
      <c r="B171" s="14">
        <v>474.19069999999999</v>
      </c>
      <c r="C171" s="14">
        <v>723.12210000000005</v>
      </c>
      <c r="D171" s="14">
        <v>731.69489999999996</v>
      </c>
      <c r="E171" s="14">
        <v>713.71439999999996</v>
      </c>
    </row>
    <row r="172" spans="1:5">
      <c r="A172" s="12">
        <f t="shared" si="2"/>
        <v>45534</v>
      </c>
      <c r="B172" s="14">
        <v>474.48050000000001</v>
      </c>
      <c r="C172" s="14">
        <v>725.28930000000003</v>
      </c>
      <c r="D172" s="14">
        <v>734.31539999999995</v>
      </c>
      <c r="E172" s="14">
        <v>715.19759999999997</v>
      </c>
    </row>
    <row r="173" spans="1:5">
      <c r="A173" s="12">
        <f t="shared" si="2"/>
        <v>45537</v>
      </c>
      <c r="B173" s="14">
        <v>474.76459999999997</v>
      </c>
      <c r="C173" s="14">
        <v>724.32240000000002</v>
      </c>
      <c r="D173" s="14">
        <v>734.4452</v>
      </c>
      <c r="E173" s="14">
        <v>715.09619999999995</v>
      </c>
    </row>
    <row r="174" spans="1:5">
      <c r="A174" s="12">
        <f t="shared" si="2"/>
        <v>45538</v>
      </c>
      <c r="B174" s="14">
        <v>474.90699999999998</v>
      </c>
      <c r="C174" s="14">
        <v>724.7713</v>
      </c>
      <c r="D174" s="14">
        <v>734.51289999999995</v>
      </c>
      <c r="E174" s="14">
        <v>715.36929999999995</v>
      </c>
    </row>
    <row r="175" spans="1:5">
      <c r="A175" s="12">
        <f t="shared" si="2"/>
        <v>45539</v>
      </c>
      <c r="B175" s="14">
        <v>475.04950000000002</v>
      </c>
      <c r="C175" s="14">
        <v>728.19460000000004</v>
      </c>
      <c r="D175" s="14">
        <v>738.75699999999995</v>
      </c>
      <c r="E175" s="14">
        <v>717.85</v>
      </c>
    </row>
    <row r="176" spans="1:5">
      <c r="A176" s="12">
        <f t="shared" si="2"/>
        <v>45540</v>
      </c>
      <c r="B176" s="14">
        <v>475.19049999999999</v>
      </c>
      <c r="C176" s="14">
        <v>730.24929999999995</v>
      </c>
      <c r="D176" s="14">
        <v>742.30190000000005</v>
      </c>
      <c r="E176" s="14">
        <v>719.27890000000002</v>
      </c>
    </row>
    <row r="177" spans="1:5">
      <c r="A177" s="12">
        <f t="shared" si="2"/>
        <v>45541</v>
      </c>
      <c r="B177" s="14">
        <v>475.33069999999998</v>
      </c>
      <c r="C177" s="14">
        <v>731.69529999999997</v>
      </c>
      <c r="D177" s="14">
        <v>743.38419999999996</v>
      </c>
      <c r="E177" s="14">
        <v>720.60979999999995</v>
      </c>
    </row>
    <row r="178" spans="1:5">
      <c r="A178" s="12">
        <f t="shared" si="2"/>
        <v>45544</v>
      </c>
      <c r="B178" s="14">
        <v>475.75299999999999</v>
      </c>
      <c r="C178" s="14">
        <v>734.17049999999995</v>
      </c>
      <c r="D178" s="14">
        <v>741.93179999999995</v>
      </c>
      <c r="E178" s="14">
        <v>722.21659999999997</v>
      </c>
    </row>
    <row r="179" spans="1:5">
      <c r="A179" s="12">
        <f t="shared" si="2"/>
        <v>45545</v>
      </c>
      <c r="B179" s="14">
        <v>475.89400000000001</v>
      </c>
      <c r="C179" s="14">
        <v>731.83749999999998</v>
      </c>
      <c r="D179" s="14">
        <v>736.7165</v>
      </c>
      <c r="E179" s="14">
        <v>721.07069999999999</v>
      </c>
    </row>
    <row r="180" spans="1:5">
      <c r="A180" s="12">
        <f t="shared" si="2"/>
        <v>45546</v>
      </c>
      <c r="B180" s="14">
        <v>476.03609999999998</v>
      </c>
      <c r="C180" s="14">
        <v>735.47720000000004</v>
      </c>
      <c r="D180" s="14">
        <v>741.93430000000001</v>
      </c>
      <c r="E180" s="14">
        <v>723.03120000000001</v>
      </c>
    </row>
    <row r="181" spans="1:5">
      <c r="A181" s="12">
        <f t="shared" si="2"/>
        <v>45547</v>
      </c>
      <c r="B181" s="14">
        <v>476.17860000000002</v>
      </c>
      <c r="C181" s="14">
        <v>737.42660000000001</v>
      </c>
      <c r="D181" s="14">
        <v>743.33929999999998</v>
      </c>
      <c r="E181" s="14">
        <v>724.5204</v>
      </c>
    </row>
    <row r="182" spans="1:5">
      <c r="A182" s="12">
        <f t="shared" si="2"/>
        <v>45548</v>
      </c>
      <c r="B182" s="14">
        <v>476.32069999999999</v>
      </c>
      <c r="C182" s="14">
        <v>742.04499999999996</v>
      </c>
      <c r="D182" s="14">
        <v>748.87429999999995</v>
      </c>
      <c r="E182" s="14">
        <v>727.23969999999997</v>
      </c>
    </row>
    <row r="183" spans="1:5">
      <c r="A183" s="12">
        <f t="shared" si="2"/>
        <v>45552</v>
      </c>
      <c r="B183" s="14">
        <v>476.89019999999999</v>
      </c>
      <c r="C183" s="14">
        <v>745.90009999999995</v>
      </c>
      <c r="D183" s="14">
        <v>755.03819999999996</v>
      </c>
      <c r="E183" s="14">
        <v>729.57370000000003</v>
      </c>
    </row>
    <row r="184" spans="1:5">
      <c r="A184" s="12">
        <f t="shared" si="2"/>
        <v>45553</v>
      </c>
      <c r="B184" s="14">
        <v>477.0326</v>
      </c>
      <c r="C184" s="14">
        <v>746.54629999999997</v>
      </c>
      <c r="D184" s="14">
        <v>758.44730000000004</v>
      </c>
      <c r="E184" s="14">
        <v>730.29939999999999</v>
      </c>
    </row>
    <row r="185" spans="1:5">
      <c r="A185" s="12">
        <f t="shared" si="2"/>
        <v>45554</v>
      </c>
      <c r="B185" s="14">
        <v>477.17520000000002</v>
      </c>
      <c r="C185" s="14">
        <v>748.11490000000003</v>
      </c>
      <c r="D185" s="14">
        <v>762.35329999999999</v>
      </c>
      <c r="E185" s="14">
        <v>731.54989999999998</v>
      </c>
    </row>
    <row r="186" spans="1:5">
      <c r="A186" s="12">
        <f t="shared" si="2"/>
        <v>45555</v>
      </c>
      <c r="B186" s="14">
        <v>477.31810000000002</v>
      </c>
      <c r="C186" s="14">
        <v>746.43320000000006</v>
      </c>
      <c r="D186" s="14">
        <v>762.80769999999995</v>
      </c>
      <c r="E186" s="14">
        <v>730.63710000000003</v>
      </c>
    </row>
    <row r="187" spans="1:5">
      <c r="A187" s="12">
        <f t="shared" si="2"/>
        <v>45558</v>
      </c>
      <c r="B187" s="14">
        <v>477.74689999999998</v>
      </c>
      <c r="C187" s="14">
        <v>747.17750000000001</v>
      </c>
      <c r="D187" s="14">
        <v>761.60360000000003</v>
      </c>
      <c r="E187" s="14">
        <v>731.43100000000004</v>
      </c>
    </row>
    <row r="188" spans="1:5">
      <c r="A188" s="12">
        <f t="shared" si="2"/>
        <v>45559</v>
      </c>
      <c r="B188" s="14">
        <v>477.89</v>
      </c>
      <c r="C188" s="14">
        <v>747.13149999999996</v>
      </c>
      <c r="D188" s="14">
        <v>760.33849999999995</v>
      </c>
      <c r="E188" s="14">
        <v>731.68619999999999</v>
      </c>
    </row>
    <row r="189" spans="1:5">
      <c r="A189" s="12">
        <f t="shared" si="2"/>
        <v>45560</v>
      </c>
      <c r="B189" s="14">
        <v>478.03320000000002</v>
      </c>
      <c r="C189" s="14">
        <v>745.91539999999998</v>
      </c>
      <c r="D189" s="14">
        <v>758.73109999999997</v>
      </c>
      <c r="E189" s="14">
        <v>731.30909999999994</v>
      </c>
    </row>
    <row r="190" spans="1:5">
      <c r="A190" s="12">
        <f t="shared" si="2"/>
        <v>45561</v>
      </c>
      <c r="B190" s="14">
        <v>478.17599999999999</v>
      </c>
      <c r="C190" s="14">
        <v>745.56129999999996</v>
      </c>
      <c r="D190" s="14">
        <v>758.67240000000004</v>
      </c>
      <c r="E190" s="14">
        <v>730.97799999999995</v>
      </c>
    </row>
    <row r="191" spans="1:5">
      <c r="A191" s="12">
        <f t="shared" si="2"/>
        <v>45562</v>
      </c>
      <c r="B191" s="14">
        <v>478.31619999999998</v>
      </c>
      <c r="C191" s="14">
        <v>743.92290000000003</v>
      </c>
      <c r="D191" s="14">
        <v>755.4769</v>
      </c>
      <c r="E191" s="14">
        <v>730.28449999999998</v>
      </c>
    </row>
    <row r="192" spans="1:5">
      <c r="A192" s="12">
        <f t="shared" si="2"/>
        <v>45565</v>
      </c>
      <c r="B192" s="14">
        <v>478.73869999999999</v>
      </c>
      <c r="C192" s="14">
        <v>743.78880000000004</v>
      </c>
      <c r="D192" s="14">
        <v>755.5838</v>
      </c>
      <c r="E192" s="14">
        <v>730.7405</v>
      </c>
    </row>
    <row r="193" spans="1:5">
      <c r="A193" s="12">
        <f t="shared" si="2"/>
        <v>45567</v>
      </c>
      <c r="B193" s="14">
        <v>479.01929999999999</v>
      </c>
      <c r="C193" s="14">
        <v>742.83600000000001</v>
      </c>
      <c r="D193" s="14">
        <v>755.03750000000002</v>
      </c>
      <c r="E193" s="14">
        <v>730.34870000000001</v>
      </c>
    </row>
    <row r="194" spans="1:5">
      <c r="A194" s="12">
        <f t="shared" si="2"/>
        <v>45568</v>
      </c>
      <c r="B194" s="14">
        <v>479.15949999999998</v>
      </c>
      <c r="C194" s="14">
        <v>741.02980000000002</v>
      </c>
      <c r="D194" s="14">
        <v>755.81790000000001</v>
      </c>
      <c r="E194" s="14">
        <v>729.20060000000001</v>
      </c>
    </row>
    <row r="195" spans="1:5">
      <c r="A195" s="12">
        <f t="shared" si="2"/>
        <v>45569</v>
      </c>
      <c r="B195" s="14">
        <v>479.29930000000002</v>
      </c>
      <c r="C195" s="14">
        <v>738.46709999999996</v>
      </c>
      <c r="D195" s="14">
        <v>754.46699999999998</v>
      </c>
      <c r="E195" s="14">
        <v>727.27760000000001</v>
      </c>
    </row>
    <row r="196" spans="1:5">
      <c r="A196" s="12">
        <f t="shared" ref="A196:A259" si="3">WORKDAY(A195,1,Días_festivos)</f>
        <v>45572</v>
      </c>
      <c r="B196" s="14">
        <v>479.71789999999999</v>
      </c>
      <c r="C196" s="14">
        <v>736.47720000000004</v>
      </c>
      <c r="D196" s="14">
        <v>751.94740000000002</v>
      </c>
      <c r="E196" s="14">
        <v>726.06700000000001</v>
      </c>
    </row>
    <row r="197" spans="1:5">
      <c r="A197" s="12">
        <f t="shared" si="3"/>
        <v>45573</v>
      </c>
      <c r="B197" s="14">
        <v>479.85750000000002</v>
      </c>
      <c r="C197" s="14">
        <v>737.40769999999998</v>
      </c>
      <c r="D197" s="14">
        <v>751.91660000000002</v>
      </c>
      <c r="E197" s="14">
        <v>727.10640000000001</v>
      </c>
    </row>
    <row r="198" spans="1:5">
      <c r="A198" s="12">
        <f t="shared" si="3"/>
        <v>45574</v>
      </c>
      <c r="B198" s="14">
        <v>479.99709999999999</v>
      </c>
      <c r="C198" s="14">
        <v>736.09190000000001</v>
      </c>
      <c r="D198" s="14">
        <v>751.25649999999996</v>
      </c>
      <c r="E198" s="14">
        <v>726.20259999999996</v>
      </c>
    </row>
    <row r="199" spans="1:5">
      <c r="A199" s="12">
        <f t="shared" si="3"/>
        <v>45575</v>
      </c>
      <c r="B199" s="14">
        <v>480.13670000000002</v>
      </c>
      <c r="C199" s="14">
        <v>733.02170000000001</v>
      </c>
      <c r="D199" s="14">
        <v>748.29880000000003</v>
      </c>
      <c r="E199" s="14">
        <v>724.50480000000005</v>
      </c>
    </row>
    <row r="200" spans="1:5">
      <c r="A200" s="12">
        <f t="shared" si="3"/>
        <v>45576</v>
      </c>
      <c r="B200" s="14">
        <v>480.2765</v>
      </c>
      <c r="C200" s="14">
        <v>735.75040000000001</v>
      </c>
      <c r="D200" s="14">
        <v>750.68539999999996</v>
      </c>
      <c r="E200" s="14">
        <v>726.08010000000002</v>
      </c>
    </row>
    <row r="201" spans="1:5">
      <c r="A201" s="12">
        <f t="shared" si="3"/>
        <v>45579</v>
      </c>
      <c r="B201" s="14">
        <v>480.69630000000001</v>
      </c>
      <c r="C201" s="14">
        <v>736.30110000000002</v>
      </c>
      <c r="D201" s="14">
        <v>750.96140000000003</v>
      </c>
      <c r="E201" s="14">
        <v>726.65009999999995</v>
      </c>
    </row>
    <row r="202" spans="1:5">
      <c r="A202" s="12">
        <f t="shared" si="3"/>
        <v>45580</v>
      </c>
      <c r="B202" s="14">
        <v>480.83679999999998</v>
      </c>
      <c r="C202" s="14">
        <v>734.84010000000001</v>
      </c>
      <c r="D202" s="14">
        <v>744.47029999999995</v>
      </c>
      <c r="E202" s="14">
        <v>725.80700000000002</v>
      </c>
    </row>
    <row r="203" spans="1:5">
      <c r="A203" s="12">
        <f t="shared" si="3"/>
        <v>45581</v>
      </c>
      <c r="B203" s="14">
        <v>480.9769</v>
      </c>
      <c r="C203" s="14">
        <v>730.29909999999995</v>
      </c>
      <c r="D203" s="14">
        <v>742.49879999999996</v>
      </c>
      <c r="E203" s="14">
        <v>723.43280000000004</v>
      </c>
    </row>
    <row r="204" spans="1:5">
      <c r="A204" s="12">
        <f t="shared" si="3"/>
        <v>45582</v>
      </c>
      <c r="B204" s="14">
        <v>481.11700000000002</v>
      </c>
      <c r="C204" s="14">
        <v>731.49220000000003</v>
      </c>
      <c r="D204" s="14">
        <v>744.04169999999999</v>
      </c>
      <c r="E204" s="14">
        <v>724.41380000000004</v>
      </c>
    </row>
    <row r="205" spans="1:5">
      <c r="A205" s="12">
        <f t="shared" si="3"/>
        <v>45583</v>
      </c>
      <c r="B205" s="14">
        <v>481.25749999999999</v>
      </c>
      <c r="C205" s="14">
        <v>729.18020000000001</v>
      </c>
      <c r="D205" s="14">
        <v>741.75840000000005</v>
      </c>
      <c r="E205" s="14">
        <v>723.43769999999995</v>
      </c>
    </row>
    <row r="206" spans="1:5">
      <c r="A206" s="12">
        <f t="shared" si="3"/>
        <v>45586</v>
      </c>
      <c r="B206" s="14">
        <v>481.67860000000002</v>
      </c>
      <c r="C206" s="14">
        <v>724.09939999999995</v>
      </c>
      <c r="D206" s="14">
        <v>736.1</v>
      </c>
      <c r="E206" s="14">
        <v>720.83920000000001</v>
      </c>
    </row>
    <row r="207" spans="1:5">
      <c r="A207" s="12">
        <f t="shared" si="3"/>
        <v>45587</v>
      </c>
      <c r="B207" s="14">
        <v>481.8193</v>
      </c>
      <c r="C207" s="14">
        <v>724.38750000000005</v>
      </c>
      <c r="D207" s="14">
        <v>736.70190000000002</v>
      </c>
      <c r="E207" s="14">
        <v>720.99109999999996</v>
      </c>
    </row>
    <row r="208" spans="1:5">
      <c r="A208" s="12">
        <f t="shared" si="3"/>
        <v>45588</v>
      </c>
      <c r="B208" s="14">
        <v>481.96</v>
      </c>
      <c r="C208" s="14">
        <v>724.11360000000002</v>
      </c>
      <c r="D208" s="14">
        <v>737.28030000000001</v>
      </c>
      <c r="E208" s="14">
        <v>720.78729999999996</v>
      </c>
    </row>
    <row r="209" spans="1:5">
      <c r="A209" s="12">
        <f t="shared" si="3"/>
        <v>45589</v>
      </c>
      <c r="B209" s="14">
        <v>482.101</v>
      </c>
      <c r="C209" s="14">
        <v>726.16849999999999</v>
      </c>
      <c r="D209" s="14">
        <v>740.87469999999996</v>
      </c>
      <c r="E209" s="14">
        <v>722.21400000000006</v>
      </c>
    </row>
    <row r="210" spans="1:5">
      <c r="A210" s="12">
        <f t="shared" si="3"/>
        <v>45590</v>
      </c>
      <c r="B210" s="14">
        <v>482.24209999999999</v>
      </c>
      <c r="C210" s="14">
        <v>724.70209999999997</v>
      </c>
      <c r="D210" s="14">
        <v>740.40750000000003</v>
      </c>
      <c r="E210" s="14">
        <v>721.50890000000004</v>
      </c>
    </row>
    <row r="211" spans="1:5">
      <c r="A211" s="12">
        <f t="shared" si="3"/>
        <v>45593</v>
      </c>
      <c r="B211" s="14">
        <v>482.6653</v>
      </c>
      <c r="C211" s="14">
        <v>724.97889999999995</v>
      </c>
      <c r="D211" s="14">
        <v>740.29259999999999</v>
      </c>
      <c r="E211" s="14">
        <v>721.95309999999995</v>
      </c>
    </row>
    <row r="212" spans="1:5">
      <c r="A212" s="12">
        <f t="shared" si="3"/>
        <v>45594</v>
      </c>
      <c r="B212" s="14">
        <v>482.8066</v>
      </c>
      <c r="C212" s="14">
        <v>727.65560000000005</v>
      </c>
      <c r="D212" s="14">
        <v>742.51329999999996</v>
      </c>
      <c r="E212" s="14">
        <v>723.93960000000004</v>
      </c>
    </row>
    <row r="213" spans="1:5">
      <c r="A213" s="12">
        <f t="shared" si="3"/>
        <v>45595</v>
      </c>
      <c r="B213" s="14">
        <v>482.94799999999998</v>
      </c>
      <c r="C213" s="14">
        <v>728.25599999999997</v>
      </c>
      <c r="D213" s="14">
        <v>743.50620000000004</v>
      </c>
      <c r="E213" s="14">
        <v>724.1816</v>
      </c>
    </row>
    <row r="214" spans="1:5">
      <c r="A214" s="12">
        <f t="shared" si="3"/>
        <v>45596</v>
      </c>
      <c r="B214" s="14">
        <v>483.0908</v>
      </c>
      <c r="C214" s="14">
        <v>727.08699999999999</v>
      </c>
      <c r="D214" s="14">
        <v>742.73030000000006</v>
      </c>
      <c r="E214" s="14">
        <v>723.63810000000001</v>
      </c>
    </row>
    <row r="215" spans="1:5">
      <c r="A215" s="12">
        <f t="shared" si="3"/>
        <v>45597</v>
      </c>
      <c r="B215" s="14">
        <v>483.2321</v>
      </c>
      <c r="C215" s="14">
        <v>722.52650000000006</v>
      </c>
      <c r="D215" s="14">
        <v>739.29690000000005</v>
      </c>
      <c r="E215" s="14">
        <v>721.00149999999996</v>
      </c>
    </row>
    <row r="216" spans="1:5">
      <c r="A216" s="12">
        <f t="shared" si="3"/>
        <v>45600</v>
      </c>
      <c r="B216" s="14">
        <v>483.65539999999999</v>
      </c>
      <c r="C216" s="14">
        <v>726.6943</v>
      </c>
      <c r="D216" s="14">
        <v>741.10990000000004</v>
      </c>
      <c r="E216" s="14">
        <v>723.572</v>
      </c>
    </row>
    <row r="217" spans="1:5">
      <c r="A217" s="12">
        <f t="shared" si="3"/>
        <v>45601</v>
      </c>
      <c r="B217" s="14">
        <v>483.79660000000001</v>
      </c>
      <c r="C217" s="14">
        <v>730.79219999999998</v>
      </c>
      <c r="D217" s="14">
        <v>744.24400000000003</v>
      </c>
      <c r="E217" s="14">
        <v>725.82849999999996</v>
      </c>
    </row>
    <row r="218" spans="1:5">
      <c r="A218" s="12">
        <f t="shared" si="3"/>
        <v>45602</v>
      </c>
      <c r="B218" s="14">
        <v>483.93779999999998</v>
      </c>
      <c r="C218" s="14">
        <v>732.30949999999996</v>
      </c>
      <c r="D218" s="14">
        <v>746.71280000000002</v>
      </c>
      <c r="E218" s="14">
        <v>727.13509999999997</v>
      </c>
    </row>
    <row r="219" spans="1:5">
      <c r="A219" s="12">
        <f t="shared" si="3"/>
        <v>45603</v>
      </c>
      <c r="B219" s="14">
        <v>484.07909999999998</v>
      </c>
      <c r="C219" s="14">
        <v>735.56119999999999</v>
      </c>
      <c r="D219" s="14">
        <v>750.78970000000004</v>
      </c>
      <c r="E219" s="14">
        <v>729.06949999999995</v>
      </c>
    </row>
    <row r="220" spans="1:5">
      <c r="A220" s="12">
        <f t="shared" si="3"/>
        <v>45604</v>
      </c>
      <c r="B220" s="14">
        <v>484.22059999999999</v>
      </c>
      <c r="C220" s="14">
        <v>731.84739999999999</v>
      </c>
      <c r="D220" s="14">
        <v>745.97159999999997</v>
      </c>
      <c r="E220" s="14">
        <v>727.17550000000006</v>
      </c>
    </row>
    <row r="221" spans="1:5">
      <c r="A221" s="12">
        <f t="shared" si="3"/>
        <v>45607</v>
      </c>
      <c r="B221" s="14">
        <v>484.6454</v>
      </c>
      <c r="C221" s="14">
        <v>730.84529999999995</v>
      </c>
      <c r="D221" s="14">
        <v>746.4606</v>
      </c>
      <c r="E221" s="14">
        <v>727.03779999999995</v>
      </c>
    </row>
    <row r="222" spans="1:5">
      <c r="A222" s="12">
        <f t="shared" si="3"/>
        <v>45608</v>
      </c>
      <c r="B222" s="14">
        <v>484.78739999999999</v>
      </c>
      <c r="C222" s="14">
        <v>729.99109999999996</v>
      </c>
      <c r="D222" s="14">
        <v>740.6454</v>
      </c>
      <c r="E222" s="14">
        <v>726.43020000000001</v>
      </c>
    </row>
    <row r="223" spans="1:5">
      <c r="A223" s="12">
        <f t="shared" si="3"/>
        <v>45609</v>
      </c>
      <c r="B223" s="14">
        <v>484.92899999999997</v>
      </c>
      <c r="C223" s="14">
        <v>731.79600000000005</v>
      </c>
      <c r="D223" s="14">
        <v>741.00980000000004</v>
      </c>
      <c r="E223" s="14">
        <v>727.65750000000003</v>
      </c>
    </row>
    <row r="224" spans="1:5">
      <c r="A224" s="12">
        <f t="shared" si="3"/>
        <v>45610</v>
      </c>
      <c r="B224" s="14">
        <v>485.07069999999999</v>
      </c>
      <c r="C224" s="14">
        <v>733.83579999999995</v>
      </c>
      <c r="D224" s="14">
        <v>741.82569999999998</v>
      </c>
      <c r="E224" s="14">
        <v>729.32159999999999</v>
      </c>
    </row>
    <row r="225" spans="1:5">
      <c r="A225" s="12">
        <f t="shared" si="3"/>
        <v>45611</v>
      </c>
      <c r="B225" s="14">
        <v>485.20920000000001</v>
      </c>
      <c r="C225" s="14">
        <v>733.88660000000004</v>
      </c>
      <c r="D225" s="14">
        <v>741.38750000000005</v>
      </c>
      <c r="E225" s="14">
        <v>729.32529999999997</v>
      </c>
    </row>
    <row r="226" spans="1:5">
      <c r="A226" s="12">
        <f t="shared" si="3"/>
        <v>45615</v>
      </c>
      <c r="B226" s="14">
        <v>485.76179999999999</v>
      </c>
      <c r="C226" s="14">
        <v>738.62279999999998</v>
      </c>
      <c r="D226" s="14">
        <v>745.053</v>
      </c>
      <c r="E226" s="14">
        <v>732.43129999999996</v>
      </c>
    </row>
    <row r="227" spans="1:5">
      <c r="A227" s="12">
        <f t="shared" si="3"/>
        <v>45616</v>
      </c>
      <c r="B227" s="14">
        <v>485.90039999999999</v>
      </c>
      <c r="C227" s="14">
        <v>738.12239999999997</v>
      </c>
      <c r="D227" s="14">
        <v>741.45719999999994</v>
      </c>
      <c r="E227" s="14">
        <v>732.44389999999999</v>
      </c>
    </row>
    <row r="228" spans="1:5">
      <c r="A228" s="12">
        <f t="shared" si="3"/>
        <v>45617</v>
      </c>
      <c r="B228" s="14">
        <v>486.03890000000001</v>
      </c>
      <c r="C228" s="14">
        <v>735.11109999999996</v>
      </c>
      <c r="D228" s="14">
        <v>739.07150000000001</v>
      </c>
      <c r="E228" s="14">
        <v>730.70889999999997</v>
      </c>
    </row>
    <row r="229" spans="1:5">
      <c r="A229" s="12">
        <f t="shared" si="3"/>
        <v>45618</v>
      </c>
      <c r="B229" s="14">
        <v>486.17770000000002</v>
      </c>
      <c r="C229" s="14">
        <v>734.57280000000003</v>
      </c>
      <c r="D229" s="14">
        <v>737.30430000000001</v>
      </c>
      <c r="E229" s="14">
        <v>730.53859999999997</v>
      </c>
    </row>
    <row r="230" spans="1:5">
      <c r="A230" s="12">
        <f t="shared" si="3"/>
        <v>45621</v>
      </c>
      <c r="B230" s="14">
        <v>486.59500000000003</v>
      </c>
      <c r="C230" s="14">
        <v>736.86980000000005</v>
      </c>
      <c r="D230" s="14">
        <v>736.11400000000003</v>
      </c>
      <c r="E230" s="14">
        <v>732.97059999999999</v>
      </c>
    </row>
    <row r="231" spans="1:5">
      <c r="A231" s="12">
        <f t="shared" si="3"/>
        <v>45622</v>
      </c>
      <c r="B231" s="14">
        <v>486.73469999999998</v>
      </c>
      <c r="C231" s="14">
        <v>733.07820000000004</v>
      </c>
      <c r="D231" s="14">
        <v>735.03309999999999</v>
      </c>
      <c r="E231" s="14">
        <v>731.06039999999996</v>
      </c>
    </row>
    <row r="232" spans="1:5">
      <c r="A232" s="12">
        <f t="shared" si="3"/>
        <v>45623</v>
      </c>
      <c r="B232" s="14">
        <v>486.87400000000002</v>
      </c>
      <c r="C232" s="14">
        <v>735.40239999999994</v>
      </c>
      <c r="D232" s="14">
        <v>739.37019999999995</v>
      </c>
      <c r="E232" s="14">
        <v>732.68179999999995</v>
      </c>
    </row>
    <row r="233" spans="1:5">
      <c r="A233" s="12">
        <f t="shared" si="3"/>
        <v>45624</v>
      </c>
      <c r="B233" s="14">
        <v>487.0145</v>
      </c>
      <c r="C233" s="14">
        <v>737.15970000000004</v>
      </c>
      <c r="D233" s="14">
        <v>739.22850000000005</v>
      </c>
      <c r="E233" s="14">
        <v>733.95069999999998</v>
      </c>
    </row>
    <row r="234" spans="1:5">
      <c r="A234" s="12">
        <f t="shared" si="3"/>
        <v>45625</v>
      </c>
      <c r="B234" s="14">
        <v>487.3</v>
      </c>
      <c r="C234" s="14">
        <v>738.08969999999999</v>
      </c>
      <c r="D234" s="14">
        <v>738.94320000000005</v>
      </c>
      <c r="E234" s="14">
        <v>734.52170000000001</v>
      </c>
    </row>
    <row r="235" spans="1:5">
      <c r="A235" s="12">
        <f t="shared" si="3"/>
        <v>45628</v>
      </c>
      <c r="B235" s="14">
        <v>487.58019999999999</v>
      </c>
      <c r="C235" s="14">
        <v>737.697</v>
      </c>
      <c r="D235" s="14">
        <v>736.56370000000004</v>
      </c>
      <c r="E235" s="14">
        <v>734.2636</v>
      </c>
    </row>
    <row r="236" spans="1:5">
      <c r="A236" s="12">
        <f t="shared" si="3"/>
        <v>45629</v>
      </c>
      <c r="B236" s="14">
        <v>487.72390000000001</v>
      </c>
      <c r="C236" s="14">
        <v>739.03470000000004</v>
      </c>
      <c r="D236" s="14">
        <v>741.08799999999997</v>
      </c>
      <c r="E236" s="14">
        <v>734.69500000000005</v>
      </c>
    </row>
    <row r="237" spans="1:5">
      <c r="A237" s="12">
        <f t="shared" si="3"/>
        <v>45630</v>
      </c>
      <c r="B237" s="14">
        <v>487.8648</v>
      </c>
      <c r="C237" s="14">
        <v>738.45029999999997</v>
      </c>
      <c r="D237" s="14">
        <v>739.62609999999995</v>
      </c>
      <c r="E237" s="14">
        <v>734.26070000000004</v>
      </c>
    </row>
    <row r="238" spans="1:5">
      <c r="A238" s="12">
        <f t="shared" si="3"/>
        <v>45631</v>
      </c>
      <c r="B238" s="14">
        <v>488.00299999999999</v>
      </c>
      <c r="C238" s="14">
        <v>738.07339999999999</v>
      </c>
      <c r="D238" s="14">
        <v>738.94290000000001</v>
      </c>
      <c r="E238" s="14">
        <v>733.81330000000003</v>
      </c>
    </row>
    <row r="239" spans="1:5">
      <c r="A239" s="12">
        <f t="shared" si="3"/>
        <v>45632</v>
      </c>
      <c r="B239" s="14">
        <v>488.14060000000001</v>
      </c>
      <c r="C239" s="14">
        <v>736.6567</v>
      </c>
      <c r="D239" s="14">
        <v>734.52949999999998</v>
      </c>
      <c r="E239" s="14">
        <v>733.41420000000005</v>
      </c>
    </row>
    <row r="240" spans="1:5">
      <c r="A240" s="12">
        <f t="shared" si="3"/>
        <v>45635</v>
      </c>
      <c r="B240" s="14">
        <v>488.55709999999999</v>
      </c>
      <c r="C240" s="14">
        <v>739.0385</v>
      </c>
      <c r="D240" s="14">
        <v>731.73260000000005</v>
      </c>
      <c r="E240" s="14">
        <v>735.88400000000001</v>
      </c>
    </row>
    <row r="241" spans="1:5">
      <c r="A241" s="12">
        <f t="shared" si="3"/>
        <v>45636</v>
      </c>
      <c r="B241" s="14">
        <v>488.69670000000002</v>
      </c>
      <c r="C241" s="14">
        <v>740.09950000000003</v>
      </c>
      <c r="D241" s="14">
        <v>730.97209999999995</v>
      </c>
      <c r="E241" s="14">
        <v>736.52419999999995</v>
      </c>
    </row>
    <row r="242" spans="1:5">
      <c r="A242" s="12">
        <f t="shared" si="3"/>
        <v>45637</v>
      </c>
      <c r="B242" s="14">
        <v>488.83609999999999</v>
      </c>
      <c r="C242" s="14">
        <v>738.57590000000005</v>
      </c>
      <c r="D242" s="14">
        <v>729.01919999999996</v>
      </c>
      <c r="E242" s="14">
        <v>736.82479999999998</v>
      </c>
    </row>
    <row r="243" spans="1:5">
      <c r="A243" s="12">
        <f t="shared" si="3"/>
        <v>45639</v>
      </c>
      <c r="B243" s="14">
        <v>489.11500000000001</v>
      </c>
      <c r="C243" s="14">
        <v>735.50829999999996</v>
      </c>
      <c r="D243" s="14">
        <v>726.73540000000003</v>
      </c>
      <c r="E243" s="14">
        <v>735.29880000000003</v>
      </c>
    </row>
    <row r="244" spans="1:5">
      <c r="A244" s="12">
        <f t="shared" si="3"/>
        <v>45642</v>
      </c>
      <c r="B244" s="14">
        <v>489.53320000000002</v>
      </c>
      <c r="C244" s="14">
        <v>735.74800000000005</v>
      </c>
      <c r="D244" s="14">
        <v>727.57539999999995</v>
      </c>
      <c r="E244" s="14">
        <v>735.91660000000002</v>
      </c>
    </row>
    <row r="245" spans="1:5">
      <c r="A245" s="12">
        <f t="shared" si="3"/>
        <v>45643</v>
      </c>
      <c r="B245" s="14">
        <v>489.67250000000001</v>
      </c>
      <c r="C245" s="14">
        <v>736.44470000000001</v>
      </c>
      <c r="D245" s="14">
        <v>730.18610000000001</v>
      </c>
      <c r="E245" s="14">
        <v>736.10749999999996</v>
      </c>
    </row>
    <row r="246" spans="1:5">
      <c r="A246" s="12">
        <f t="shared" si="3"/>
        <v>45644</v>
      </c>
      <c r="B246" s="14">
        <v>489.81209999999999</v>
      </c>
      <c r="C246" s="14">
        <v>736.20339999999999</v>
      </c>
      <c r="D246" s="14">
        <v>730.80870000000004</v>
      </c>
      <c r="E246" s="14">
        <v>735.97450000000003</v>
      </c>
    </row>
    <row r="247" spans="1:5">
      <c r="A247" s="12">
        <f t="shared" si="3"/>
        <v>45645</v>
      </c>
      <c r="B247" s="14">
        <v>489.9522</v>
      </c>
      <c r="C247" s="14">
        <v>732.66089999999997</v>
      </c>
      <c r="D247" s="14">
        <v>728.72630000000004</v>
      </c>
      <c r="E247" s="14">
        <v>734.20839999999998</v>
      </c>
    </row>
    <row r="248" spans="1:5">
      <c r="A248" s="12">
        <f t="shared" si="3"/>
        <v>45646</v>
      </c>
      <c r="B248" s="14">
        <v>490.08909999999997</v>
      </c>
      <c r="C248" s="14">
        <v>729.98789999999997</v>
      </c>
      <c r="D248" s="14">
        <v>726.93629999999996</v>
      </c>
      <c r="E248" s="14">
        <v>732.82510000000002</v>
      </c>
    </row>
    <row r="249" spans="1:5">
      <c r="A249" s="12">
        <f t="shared" si="3"/>
        <v>45649</v>
      </c>
      <c r="B249" s="14">
        <v>490.5016</v>
      </c>
      <c r="C249" s="14">
        <v>728.54010000000005</v>
      </c>
      <c r="D249" s="14">
        <v>728.57590000000005</v>
      </c>
      <c r="E249" s="14">
        <v>732.03269999999998</v>
      </c>
    </row>
    <row r="250" spans="1:5">
      <c r="A250" s="12">
        <f t="shared" si="3"/>
        <v>45650</v>
      </c>
      <c r="B250" s="14">
        <v>490.6413</v>
      </c>
      <c r="C250" s="14">
        <v>731.30499999999995</v>
      </c>
      <c r="D250" s="14">
        <v>731.32719999999995</v>
      </c>
      <c r="E250" s="14">
        <v>733.57709999999997</v>
      </c>
    </row>
    <row r="251" spans="1:5">
      <c r="A251" s="12">
        <f t="shared" si="3"/>
        <v>45652</v>
      </c>
      <c r="B251" s="14">
        <v>490.91910000000001</v>
      </c>
      <c r="C251" s="14">
        <v>730.95709999999997</v>
      </c>
      <c r="D251" s="14">
        <v>735.70169999999996</v>
      </c>
      <c r="E251" s="14">
        <v>733.49959999999999</v>
      </c>
    </row>
    <row r="252" spans="1:5">
      <c r="A252" s="12">
        <f t="shared" si="3"/>
        <v>45653</v>
      </c>
      <c r="B252" s="14">
        <v>491.05900000000003</v>
      </c>
      <c r="C252" s="14">
        <v>730.97630000000004</v>
      </c>
      <c r="D252" s="14">
        <v>735.88430000000005</v>
      </c>
      <c r="E252" s="14">
        <v>733.34389999999996</v>
      </c>
    </row>
    <row r="253" spans="1:5">
      <c r="A253" s="12">
        <f t="shared" si="3"/>
        <v>45656</v>
      </c>
      <c r="B253" s="14">
        <v>491.47430000000003</v>
      </c>
      <c r="C253" s="14">
        <v>731.08180000000004</v>
      </c>
      <c r="D253" s="14">
        <v>737.63170000000002</v>
      </c>
      <c r="E253" s="14">
        <v>734.11220000000003</v>
      </c>
    </row>
    <row r="254" spans="1:5">
      <c r="A254" s="12">
        <f t="shared" si="3"/>
        <v>45657</v>
      </c>
      <c r="B254" s="14">
        <v>491.61360000000002</v>
      </c>
      <c r="C254" s="14">
        <v>731.75760000000002</v>
      </c>
      <c r="D254" s="14">
        <v>738.09400000000005</v>
      </c>
      <c r="E254" s="14">
        <v>734.92650000000003</v>
      </c>
    </row>
    <row r="255" spans="1:5">
      <c r="A255" s="12">
        <f t="shared" si="3"/>
        <v>45659</v>
      </c>
      <c r="B255" s="14">
        <v>491.88810000000001</v>
      </c>
      <c r="C255" s="14">
        <v>734.81380000000001</v>
      </c>
      <c r="D255" s="14">
        <v>739.8279</v>
      </c>
      <c r="E255" s="14">
        <v>736.44380000000001</v>
      </c>
    </row>
    <row r="256" spans="1:5">
      <c r="A256" s="12">
        <f t="shared" si="3"/>
        <v>45660</v>
      </c>
      <c r="B256" s="14">
        <v>492.0247</v>
      </c>
      <c r="C256" s="14">
        <v>733.29459999999995</v>
      </c>
      <c r="D256" s="14">
        <v>739.14260000000002</v>
      </c>
      <c r="E256" s="14">
        <v>735.3768</v>
      </c>
    </row>
    <row r="257" spans="1:5">
      <c r="A257" s="12">
        <f t="shared" si="3"/>
        <v>45663</v>
      </c>
      <c r="B257" s="14">
        <v>492.43470000000002</v>
      </c>
      <c r="C257" s="14">
        <v>734.40160000000003</v>
      </c>
      <c r="D257" s="14">
        <v>740.22429999999997</v>
      </c>
      <c r="E257" s="14">
        <v>736.58969999999999</v>
      </c>
    </row>
    <row r="258" spans="1:5">
      <c r="A258" s="12">
        <f t="shared" si="3"/>
        <v>45664</v>
      </c>
      <c r="B258" s="14">
        <v>492.57139999999998</v>
      </c>
      <c r="C258" s="14">
        <v>737.02449999999999</v>
      </c>
      <c r="D258" s="14">
        <v>742.98180000000002</v>
      </c>
      <c r="E258" s="14">
        <v>738.3682</v>
      </c>
    </row>
    <row r="259" spans="1:5">
      <c r="A259" s="12">
        <f t="shared" si="3"/>
        <v>45665</v>
      </c>
      <c r="B259" s="14">
        <v>492.7079</v>
      </c>
      <c r="C259" s="14">
        <v>737.46349999999995</v>
      </c>
      <c r="D259" s="14">
        <v>744.64089999999999</v>
      </c>
      <c r="E259" s="14">
        <v>738.99490000000003</v>
      </c>
    </row>
    <row r="260" spans="1:5">
      <c r="A260" s="12">
        <f t="shared" ref="A260:A323" si="4">WORKDAY(A259,1,Días_festivos)</f>
        <v>45666</v>
      </c>
      <c r="B260" s="14">
        <v>492.84440000000001</v>
      </c>
      <c r="C260" s="14">
        <v>738.61320000000001</v>
      </c>
      <c r="D260" s="14">
        <v>746.92060000000004</v>
      </c>
      <c r="E260" s="14">
        <v>739.84910000000002</v>
      </c>
    </row>
    <row r="261" spans="1:5">
      <c r="A261" s="12">
        <f t="shared" si="4"/>
        <v>45667</v>
      </c>
      <c r="B261" s="14">
        <v>492.98070000000001</v>
      </c>
      <c r="C261" s="14">
        <v>737.09230000000002</v>
      </c>
      <c r="D261" s="14">
        <v>744.49429999999995</v>
      </c>
      <c r="E261" s="14">
        <v>738.78520000000003</v>
      </c>
    </row>
    <row r="262" spans="1:5">
      <c r="A262" s="12">
        <f t="shared" si="4"/>
        <v>45670</v>
      </c>
      <c r="B262" s="14">
        <v>493.39030000000002</v>
      </c>
      <c r="C262" s="14">
        <v>734.90030000000002</v>
      </c>
      <c r="D262" s="14">
        <v>742.16589999999997</v>
      </c>
      <c r="E262" s="14">
        <v>737.88170000000002</v>
      </c>
    </row>
    <row r="263" spans="1:5">
      <c r="A263" s="12">
        <f t="shared" si="4"/>
        <v>45671</v>
      </c>
      <c r="B263" s="14">
        <v>493.52719999999999</v>
      </c>
      <c r="C263" s="14">
        <v>734.93790000000001</v>
      </c>
      <c r="D263" s="14">
        <v>744.55709999999999</v>
      </c>
      <c r="E263" s="14">
        <v>738.29280000000006</v>
      </c>
    </row>
    <row r="264" spans="1:5">
      <c r="A264" s="12">
        <f t="shared" si="4"/>
        <v>45672</v>
      </c>
      <c r="B264" s="14">
        <v>493.66419999999999</v>
      </c>
      <c r="C264" s="14">
        <v>737.60770000000002</v>
      </c>
      <c r="D264" s="14">
        <v>744.63070000000005</v>
      </c>
      <c r="E264" s="14">
        <v>739.99620000000004</v>
      </c>
    </row>
    <row r="265" spans="1:5">
      <c r="A265" s="12">
        <f t="shared" si="4"/>
        <v>45673</v>
      </c>
      <c r="B265" s="14">
        <v>493.80119999999999</v>
      </c>
      <c r="C265" s="14">
        <v>737.69690000000003</v>
      </c>
      <c r="D265" s="14">
        <v>742.67520000000002</v>
      </c>
      <c r="E265" s="14">
        <v>740.06920000000002</v>
      </c>
    </row>
    <row r="266" spans="1:5">
      <c r="A266" s="12">
        <f t="shared" si="4"/>
        <v>45674</v>
      </c>
      <c r="B266" s="14">
        <v>493.93819999999999</v>
      </c>
      <c r="C266" s="14">
        <v>735.51570000000004</v>
      </c>
      <c r="D266" s="14">
        <v>740.54240000000004</v>
      </c>
      <c r="E266" s="14">
        <v>739.17579999999998</v>
      </c>
    </row>
    <row r="267" spans="1:5">
      <c r="A267" s="12">
        <f t="shared" si="4"/>
        <v>45677</v>
      </c>
      <c r="B267" s="14">
        <v>494.34980000000002</v>
      </c>
      <c r="C267" s="14">
        <v>739.56190000000004</v>
      </c>
      <c r="D267" s="14">
        <v>743.77329999999995</v>
      </c>
      <c r="E267" s="14">
        <v>741.69989999999996</v>
      </c>
    </row>
    <row r="268" spans="1:5">
      <c r="A268" s="12">
        <f t="shared" si="4"/>
        <v>45678</v>
      </c>
      <c r="B268" s="14">
        <v>494.4873</v>
      </c>
      <c r="C268" s="14">
        <v>742.96969999999999</v>
      </c>
      <c r="D268" s="14">
        <v>744.69079999999997</v>
      </c>
      <c r="E268" s="14">
        <v>743.47360000000003</v>
      </c>
    </row>
    <row r="269" spans="1:5">
      <c r="A269" s="12">
        <f t="shared" si="4"/>
        <v>45679</v>
      </c>
      <c r="B269" s="14">
        <v>494.62459999999999</v>
      </c>
      <c r="C269" s="14">
        <v>747.49770000000001</v>
      </c>
      <c r="D269" s="14">
        <v>748.42619999999999</v>
      </c>
      <c r="E269" s="14">
        <v>745.94870000000003</v>
      </c>
    </row>
    <row r="270" spans="1:5">
      <c r="A270" s="12">
        <f t="shared" si="4"/>
        <v>45680</v>
      </c>
      <c r="B270" s="14">
        <v>494.76229999999998</v>
      </c>
      <c r="C270" s="14">
        <v>748.23620000000005</v>
      </c>
      <c r="D270" s="14">
        <v>749.13279999999997</v>
      </c>
      <c r="E270" s="14">
        <v>746.44799999999998</v>
      </c>
    </row>
    <row r="271" spans="1:5">
      <c r="A271" s="12">
        <f t="shared" si="4"/>
        <v>45681</v>
      </c>
      <c r="B271" s="14">
        <v>494.8999</v>
      </c>
      <c r="C271" s="14">
        <v>748.03420000000006</v>
      </c>
      <c r="D271" s="14">
        <v>748.07629999999995</v>
      </c>
      <c r="E271" s="14">
        <v>746.0557</v>
      </c>
    </row>
    <row r="272" spans="1:5">
      <c r="A272" s="12">
        <f t="shared" si="4"/>
        <v>45684</v>
      </c>
      <c r="B272" s="14">
        <v>495.31229999999999</v>
      </c>
      <c r="C272" s="14">
        <v>747.31939999999997</v>
      </c>
      <c r="D272" s="14">
        <v>745.15060000000005</v>
      </c>
      <c r="E272" s="14">
        <v>746.30380000000002</v>
      </c>
    </row>
    <row r="273" spans="1:5">
      <c r="A273" s="12">
        <f t="shared" si="4"/>
        <v>45685</v>
      </c>
      <c r="B273" s="14">
        <v>495.45010000000002</v>
      </c>
      <c r="C273" s="14">
        <v>748.0453</v>
      </c>
      <c r="D273" s="14">
        <v>747.23599999999999</v>
      </c>
      <c r="E273" s="14">
        <v>746.83249999999998</v>
      </c>
    </row>
    <row r="274" spans="1:5">
      <c r="A274" s="12">
        <f t="shared" si="4"/>
        <v>45686</v>
      </c>
      <c r="B274" s="14">
        <v>495.58780000000002</v>
      </c>
      <c r="C274" s="14">
        <v>747.01070000000004</v>
      </c>
      <c r="D274" s="14">
        <v>748.55849999999998</v>
      </c>
      <c r="E274" s="14">
        <v>746.39700000000005</v>
      </c>
    </row>
    <row r="275" spans="1:5">
      <c r="A275" s="12">
        <f t="shared" si="4"/>
        <v>45687</v>
      </c>
      <c r="B275" s="14">
        <v>495.72539999999998</v>
      </c>
      <c r="C275" s="14">
        <v>749.77359999999999</v>
      </c>
      <c r="D275" s="14">
        <v>750.9683</v>
      </c>
      <c r="E275" s="14">
        <v>748.08709999999996</v>
      </c>
    </row>
    <row r="276" spans="1:5">
      <c r="A276" s="12">
        <f t="shared" si="4"/>
        <v>45688</v>
      </c>
      <c r="B276" s="14">
        <v>495.86360000000002</v>
      </c>
      <c r="C276" s="14">
        <v>747.11220000000003</v>
      </c>
      <c r="D276" s="14">
        <v>750.14319999999998</v>
      </c>
      <c r="E276" s="14">
        <v>747.20119999999997</v>
      </c>
    </row>
    <row r="277" spans="1:5">
      <c r="A277" s="12">
        <f t="shared" si="4"/>
        <v>45692</v>
      </c>
      <c r="B277" s="14">
        <v>496.41559999999998</v>
      </c>
      <c r="C277" s="14">
        <v>752.0806</v>
      </c>
      <c r="D277" s="14">
        <v>756.95100000000002</v>
      </c>
      <c r="E277" s="14">
        <v>749.9796</v>
      </c>
    </row>
    <row r="278" spans="1:5">
      <c r="A278" s="12">
        <f t="shared" si="4"/>
        <v>45693</v>
      </c>
      <c r="B278" s="14">
        <v>496.55419999999998</v>
      </c>
      <c r="C278" s="14">
        <v>754.65390000000002</v>
      </c>
      <c r="D278" s="14">
        <v>758.60699999999997</v>
      </c>
      <c r="E278" s="14">
        <v>751.81460000000004</v>
      </c>
    </row>
    <row r="279" spans="1:5">
      <c r="A279" s="12">
        <f t="shared" si="4"/>
        <v>45694</v>
      </c>
      <c r="B279" s="14">
        <v>496.69209999999998</v>
      </c>
      <c r="C279" s="14">
        <v>758.04390000000001</v>
      </c>
      <c r="D279" s="14">
        <v>761.48069999999996</v>
      </c>
      <c r="E279" s="14">
        <v>753.73609999999996</v>
      </c>
    </row>
    <row r="280" spans="1:5">
      <c r="A280" s="12">
        <f t="shared" si="4"/>
        <v>45695</v>
      </c>
      <c r="B280" s="14">
        <v>496.82310000000001</v>
      </c>
      <c r="C280" s="14">
        <v>758.12260000000003</v>
      </c>
      <c r="D280" s="14">
        <v>761.73140000000001</v>
      </c>
      <c r="E280" s="14">
        <v>753.39689999999996</v>
      </c>
    </row>
    <row r="281" spans="1:5">
      <c r="A281" s="12">
        <f t="shared" si="4"/>
        <v>45698</v>
      </c>
      <c r="B281" s="14">
        <v>497.21640000000002</v>
      </c>
      <c r="C281" s="14">
        <v>759.1232</v>
      </c>
      <c r="D281" s="14">
        <v>763.93460000000005</v>
      </c>
      <c r="E281" s="14">
        <v>754.26530000000002</v>
      </c>
    </row>
    <row r="282" spans="1:5">
      <c r="A282" s="12">
        <f t="shared" si="4"/>
        <v>45699</v>
      </c>
      <c r="B282" s="14">
        <v>497.3476</v>
      </c>
      <c r="C282" s="14">
        <v>756.81050000000005</v>
      </c>
      <c r="D282" s="14">
        <v>766.09299999999996</v>
      </c>
      <c r="E282" s="14">
        <v>753.20619999999997</v>
      </c>
    </row>
    <row r="283" spans="1:5">
      <c r="A283" s="12">
        <f t="shared" si="4"/>
        <v>45700</v>
      </c>
      <c r="B283" s="14">
        <v>497.47879999999998</v>
      </c>
      <c r="C283" s="14">
        <v>755.26239999999996</v>
      </c>
      <c r="D283" s="14">
        <v>764.79909999999995</v>
      </c>
      <c r="E283" s="14">
        <v>752.58759999999995</v>
      </c>
    </row>
    <row r="284" spans="1:5">
      <c r="A284" s="12">
        <f t="shared" si="4"/>
        <v>45701</v>
      </c>
      <c r="B284" s="14">
        <v>497.61</v>
      </c>
      <c r="C284" s="14">
        <v>756.44870000000003</v>
      </c>
      <c r="D284" s="14">
        <v>763.68600000000004</v>
      </c>
      <c r="E284" s="14">
        <v>753.62339999999995</v>
      </c>
    </row>
    <row r="285" spans="1:5">
      <c r="A285" s="12">
        <f t="shared" si="4"/>
        <v>45702</v>
      </c>
      <c r="B285" s="14">
        <v>497.74110000000002</v>
      </c>
      <c r="C285" s="14">
        <v>756.99950000000001</v>
      </c>
      <c r="D285" s="14">
        <v>762.88019999999995</v>
      </c>
      <c r="E285" s="14">
        <v>754.28589999999997</v>
      </c>
    </row>
    <row r="286" spans="1:5">
      <c r="A286" s="12">
        <f t="shared" si="4"/>
        <v>45705</v>
      </c>
      <c r="B286" s="14">
        <v>498.1352</v>
      </c>
      <c r="C286" s="14">
        <v>756.56119999999999</v>
      </c>
      <c r="D286" s="14">
        <v>763.40840000000003</v>
      </c>
      <c r="E286" s="14">
        <v>754.43830000000003</v>
      </c>
    </row>
    <row r="287" spans="1:5">
      <c r="A287" s="12">
        <f t="shared" si="4"/>
        <v>45706</v>
      </c>
      <c r="B287" s="14">
        <v>498.26650000000001</v>
      </c>
      <c r="C287" s="14">
        <v>757.31970000000001</v>
      </c>
      <c r="D287" s="14">
        <v>761.45860000000005</v>
      </c>
      <c r="E287" s="14">
        <v>755.26779999999997</v>
      </c>
    </row>
    <row r="288" spans="1:5">
      <c r="A288" s="12">
        <f t="shared" si="4"/>
        <v>45707</v>
      </c>
      <c r="B288" s="14">
        <v>498.39789999999999</v>
      </c>
      <c r="C288" s="14">
        <v>756.05079999999998</v>
      </c>
      <c r="D288" s="14">
        <v>759.06560000000002</v>
      </c>
      <c r="E288" s="14">
        <v>754.8836</v>
      </c>
    </row>
    <row r="289" spans="1:5">
      <c r="A289" s="12">
        <f t="shared" si="4"/>
        <v>45708</v>
      </c>
      <c r="B289" s="14">
        <v>498.52910000000003</v>
      </c>
      <c r="C289" s="14">
        <v>756.78390000000002</v>
      </c>
      <c r="D289" s="14">
        <v>759.56669999999997</v>
      </c>
      <c r="E289" s="14">
        <v>755.39559999999994</v>
      </c>
    </row>
    <row r="290" spans="1:5">
      <c r="A290" s="12">
        <f t="shared" si="4"/>
        <v>45709</v>
      </c>
      <c r="B290" s="14">
        <v>498.66090000000003</v>
      </c>
      <c r="C290" s="14">
        <v>760.73270000000002</v>
      </c>
      <c r="D290" s="14">
        <v>762.01840000000004</v>
      </c>
      <c r="E290" s="14">
        <v>757.88289999999995</v>
      </c>
    </row>
    <row r="291" spans="1:5">
      <c r="A291" s="12">
        <f t="shared" si="4"/>
        <v>45712</v>
      </c>
      <c r="B291" s="14">
        <v>499.05489999999998</v>
      </c>
      <c r="C291" s="14">
        <v>763.09050000000002</v>
      </c>
      <c r="D291" s="14">
        <v>762.48739999999998</v>
      </c>
      <c r="E291" s="14">
        <v>758.97379999999998</v>
      </c>
    </row>
    <row r="292" spans="1:5">
      <c r="A292" s="12">
        <f t="shared" si="4"/>
        <v>45713</v>
      </c>
      <c r="B292" s="14">
        <v>499.18630000000002</v>
      </c>
      <c r="C292" s="14">
        <v>767.00080000000003</v>
      </c>
      <c r="D292" s="14">
        <v>767.18020000000001</v>
      </c>
      <c r="E292" s="14">
        <v>761.37490000000003</v>
      </c>
    </row>
    <row r="293" spans="1:5">
      <c r="A293" s="12">
        <f t="shared" si="4"/>
        <v>45714</v>
      </c>
      <c r="B293" s="14">
        <v>499.3177</v>
      </c>
      <c r="C293" s="14">
        <v>769.57150000000001</v>
      </c>
      <c r="D293" s="14">
        <v>769.96619999999996</v>
      </c>
      <c r="E293" s="14">
        <v>762.56610000000001</v>
      </c>
    </row>
    <row r="294" spans="1:5">
      <c r="A294" s="12">
        <f t="shared" si="4"/>
        <v>45715</v>
      </c>
      <c r="B294" s="14">
        <v>499.44920000000002</v>
      </c>
      <c r="C294" s="14">
        <v>770.303</v>
      </c>
      <c r="D294" s="14">
        <v>774.63580000000002</v>
      </c>
      <c r="E294" s="14">
        <v>762.67359999999996</v>
      </c>
    </row>
    <row r="295" spans="1:5">
      <c r="A295" s="12">
        <f t="shared" si="4"/>
        <v>45716</v>
      </c>
      <c r="B295" s="14">
        <v>499.5813</v>
      </c>
      <c r="C295" s="14">
        <v>771.17179999999996</v>
      </c>
      <c r="D295" s="14">
        <v>775.07389999999998</v>
      </c>
      <c r="E295" s="14">
        <v>763.54790000000003</v>
      </c>
    </row>
    <row r="296" spans="1:5">
      <c r="A296" s="12">
        <f t="shared" si="4"/>
        <v>45719</v>
      </c>
      <c r="B296" s="14">
        <v>499.97640000000001</v>
      </c>
      <c r="C296" s="14">
        <v>772.38340000000005</v>
      </c>
      <c r="D296" s="14">
        <v>776.10720000000003</v>
      </c>
      <c r="E296" s="14">
        <v>765.00599999999997</v>
      </c>
    </row>
    <row r="297" spans="1:5">
      <c r="A297" s="12">
        <f t="shared" si="4"/>
        <v>45720</v>
      </c>
      <c r="B297" s="14">
        <v>500.10829999999999</v>
      </c>
      <c r="C297" s="14">
        <v>768.50540000000001</v>
      </c>
      <c r="D297" s="14">
        <v>773.26080000000002</v>
      </c>
      <c r="E297" s="14">
        <v>763.32429999999999</v>
      </c>
    </row>
    <row r="298" spans="1:5">
      <c r="A298" s="12">
        <f t="shared" si="4"/>
        <v>45721</v>
      </c>
      <c r="B298" s="14">
        <v>500.24029999999999</v>
      </c>
      <c r="C298" s="14">
        <v>772.24789999999996</v>
      </c>
      <c r="D298" s="14">
        <v>776.8895</v>
      </c>
      <c r="E298" s="14">
        <v>765.5693</v>
      </c>
    </row>
    <row r="299" spans="1:5">
      <c r="A299" s="12">
        <f t="shared" si="4"/>
        <v>45722</v>
      </c>
      <c r="B299" s="14">
        <v>500.3716</v>
      </c>
      <c r="C299" s="14">
        <v>771.50840000000005</v>
      </c>
      <c r="D299" s="14">
        <v>779.33950000000004</v>
      </c>
      <c r="E299" s="14">
        <v>765.48400000000004</v>
      </c>
    </row>
    <row r="300" spans="1:5">
      <c r="A300" s="12">
        <f t="shared" si="4"/>
        <v>45723</v>
      </c>
      <c r="B300" s="14">
        <v>500.50299999999999</v>
      </c>
      <c r="C300" s="14">
        <v>771.59190000000001</v>
      </c>
      <c r="D300" s="14">
        <v>780.54409999999996</v>
      </c>
      <c r="E300" s="14">
        <v>765.86789999999996</v>
      </c>
    </row>
    <row r="301" spans="1:5">
      <c r="A301" s="12">
        <f t="shared" si="4"/>
        <v>45726</v>
      </c>
      <c r="B301" s="14">
        <v>500.89789999999999</v>
      </c>
      <c r="C301" s="14">
        <v>770.85739999999998</v>
      </c>
      <c r="D301" s="14">
        <v>781.37049999999999</v>
      </c>
      <c r="E301" s="14">
        <v>766.05430000000001</v>
      </c>
    </row>
    <row r="302" spans="1:5">
      <c r="A302" s="12">
        <f t="shared" si="4"/>
        <v>45727</v>
      </c>
      <c r="B302" s="14">
        <v>501.02980000000002</v>
      </c>
      <c r="C302" s="14">
        <v>770.92269999999996</v>
      </c>
      <c r="D302" s="14">
        <v>781.51980000000003</v>
      </c>
      <c r="E302" s="14">
        <v>765.75199999999995</v>
      </c>
    </row>
    <row r="303" spans="1:5">
      <c r="A303" s="12">
        <f t="shared" si="4"/>
        <v>45728</v>
      </c>
      <c r="B303" s="14">
        <v>501.16210000000001</v>
      </c>
      <c r="C303" s="14">
        <v>771.3306</v>
      </c>
      <c r="D303" s="14">
        <v>784.11739999999998</v>
      </c>
      <c r="E303" s="14">
        <v>765.55190000000005</v>
      </c>
    </row>
    <row r="304" spans="1:5">
      <c r="A304" s="12">
        <f t="shared" si="4"/>
        <v>45729</v>
      </c>
      <c r="B304" s="14">
        <v>501.29430000000002</v>
      </c>
      <c r="C304" s="14">
        <v>774.68849999999998</v>
      </c>
      <c r="D304" s="14">
        <v>785.27919999999995</v>
      </c>
      <c r="E304" s="14">
        <v>767.70060000000001</v>
      </c>
    </row>
    <row r="305" spans="1:5">
      <c r="A305" s="12">
        <f t="shared" si="4"/>
        <v>45730</v>
      </c>
      <c r="B305" s="14">
        <v>501.42660000000001</v>
      </c>
      <c r="C305" s="14">
        <v>775.54129999999998</v>
      </c>
      <c r="D305" s="14">
        <v>785.12469999999996</v>
      </c>
      <c r="E305" s="14">
        <v>768.05989999999997</v>
      </c>
    </row>
    <row r="306" spans="1:5">
      <c r="A306" s="12">
        <f t="shared" si="4"/>
        <v>45734</v>
      </c>
      <c r="B306" s="14">
        <v>501.95530000000002</v>
      </c>
      <c r="C306" s="14">
        <v>778.65120000000002</v>
      </c>
      <c r="D306" s="14">
        <v>784.94140000000004</v>
      </c>
      <c r="E306" s="14">
        <v>770.17219999999998</v>
      </c>
    </row>
    <row r="307" spans="1:5">
      <c r="A307" s="12">
        <f t="shared" si="4"/>
        <v>45735</v>
      </c>
      <c r="B307" s="14">
        <v>502.08780000000002</v>
      </c>
      <c r="C307" s="14">
        <v>781.39589999999998</v>
      </c>
      <c r="D307" s="14">
        <v>783.42190000000005</v>
      </c>
      <c r="E307" s="14">
        <v>771.74980000000005</v>
      </c>
    </row>
    <row r="308" spans="1:5">
      <c r="A308" s="12">
        <f t="shared" si="4"/>
        <v>45736</v>
      </c>
      <c r="B308" s="14">
        <v>502.22030000000001</v>
      </c>
      <c r="C308" s="14">
        <v>779.82590000000005</v>
      </c>
      <c r="D308" s="14">
        <v>784.24670000000003</v>
      </c>
      <c r="E308" s="14">
        <v>771.29930000000002</v>
      </c>
    </row>
    <row r="309" spans="1:5">
      <c r="A309" s="12">
        <f t="shared" si="4"/>
        <v>45737</v>
      </c>
      <c r="B309" s="14">
        <v>502.3528</v>
      </c>
      <c r="C309" s="14">
        <v>777.24540000000002</v>
      </c>
      <c r="D309" s="14">
        <v>783.02639999999997</v>
      </c>
      <c r="E309" s="14">
        <v>770.27729999999997</v>
      </c>
    </row>
    <row r="310" spans="1:5">
      <c r="A310" s="12">
        <f t="shared" si="4"/>
        <v>45740</v>
      </c>
      <c r="B310" s="14">
        <v>502.75049999999999</v>
      </c>
      <c r="C310" s="14">
        <v>776.98770000000002</v>
      </c>
      <c r="D310" s="14">
        <v>782.40200000000004</v>
      </c>
      <c r="E310" s="14">
        <v>770.50660000000005</v>
      </c>
    </row>
    <row r="311" spans="1:5">
      <c r="A311" s="12">
        <f t="shared" si="4"/>
        <v>45741</v>
      </c>
      <c r="B311" s="14">
        <v>502.88319999999999</v>
      </c>
      <c r="C311" s="14">
        <v>777.79359999999997</v>
      </c>
      <c r="D311" s="14">
        <v>784.7749</v>
      </c>
      <c r="E311" s="14">
        <v>771.00419999999997</v>
      </c>
    </row>
    <row r="312" spans="1:5">
      <c r="A312" s="12">
        <f t="shared" si="4"/>
        <v>45742</v>
      </c>
      <c r="B312" s="14">
        <v>503.01569999999998</v>
      </c>
      <c r="C312" s="14">
        <v>777.90880000000004</v>
      </c>
      <c r="D312" s="14">
        <v>783.89139999999998</v>
      </c>
      <c r="E312" s="14">
        <v>771.48720000000003</v>
      </c>
    </row>
    <row r="313" spans="1:5">
      <c r="A313" s="12">
        <f t="shared" si="4"/>
        <v>45743</v>
      </c>
      <c r="B313" s="14">
        <v>503.14830000000001</v>
      </c>
      <c r="C313" s="14">
        <v>780.13170000000002</v>
      </c>
      <c r="D313" s="14">
        <v>788.25599999999997</v>
      </c>
      <c r="E313" s="14">
        <v>772.99009999999998</v>
      </c>
    </row>
    <row r="314" spans="1:5">
      <c r="A314" s="12">
        <f t="shared" si="4"/>
        <v>45744</v>
      </c>
      <c r="B314" s="14">
        <v>503.27409999999998</v>
      </c>
      <c r="C314" s="14">
        <v>782.88289999999995</v>
      </c>
      <c r="D314" s="14">
        <v>791.72339999999997</v>
      </c>
      <c r="E314" s="14">
        <v>774.75450000000001</v>
      </c>
    </row>
    <row r="315" spans="1:5">
      <c r="A315" s="12">
        <f t="shared" si="4"/>
        <v>45747</v>
      </c>
      <c r="B315" s="14">
        <v>503.65370000000001</v>
      </c>
      <c r="C315" s="14">
        <v>782.90340000000003</v>
      </c>
      <c r="D315" s="14">
        <v>790.21479999999997</v>
      </c>
      <c r="E315" s="14">
        <v>775.24289999999996</v>
      </c>
    </row>
    <row r="316" spans="1:5">
      <c r="A316" s="12">
        <f t="shared" si="4"/>
        <v>45748</v>
      </c>
      <c r="B316" s="14">
        <v>503.78030000000001</v>
      </c>
      <c r="C316" s="14">
        <v>786.51030000000003</v>
      </c>
      <c r="D316" s="14">
        <v>793.62300000000005</v>
      </c>
      <c r="E316" s="14">
        <v>777.31380000000001</v>
      </c>
    </row>
    <row r="317" spans="1:5">
      <c r="A317" s="12">
        <f t="shared" si="4"/>
        <v>45749</v>
      </c>
      <c r="B317" s="14">
        <v>503.90629999999999</v>
      </c>
      <c r="C317" s="14">
        <v>788.29139999999995</v>
      </c>
      <c r="D317" s="14">
        <v>795.32539999999995</v>
      </c>
      <c r="E317" s="14">
        <v>778.40099999999995</v>
      </c>
    </row>
    <row r="318" spans="1:5">
      <c r="A318" s="12">
        <f t="shared" si="4"/>
        <v>45750</v>
      </c>
      <c r="B318" s="14">
        <v>504.03210000000001</v>
      </c>
      <c r="C318" s="14">
        <v>795.75239999999997</v>
      </c>
      <c r="D318" s="14">
        <v>805.02599999999995</v>
      </c>
      <c r="E318" s="14">
        <v>782.81610000000001</v>
      </c>
    </row>
    <row r="319" spans="1:5">
      <c r="A319" s="12">
        <f t="shared" si="4"/>
        <v>45751</v>
      </c>
      <c r="B319" s="14">
        <v>504.15780000000001</v>
      </c>
      <c r="C319" s="14">
        <v>790.76559999999995</v>
      </c>
      <c r="D319" s="14">
        <v>802.92719999999997</v>
      </c>
      <c r="E319" s="14">
        <v>780.40419999999995</v>
      </c>
    </row>
    <row r="320" spans="1:5">
      <c r="A320" s="12">
        <f t="shared" si="4"/>
        <v>45754</v>
      </c>
      <c r="B320" s="14">
        <v>504.53550000000001</v>
      </c>
      <c r="C320" s="14">
        <v>784.20529999999997</v>
      </c>
      <c r="D320" s="14">
        <v>793.8152</v>
      </c>
      <c r="E320" s="14">
        <v>777.37929999999994</v>
      </c>
    </row>
    <row r="321" spans="1:5">
      <c r="A321" s="12">
        <f t="shared" si="4"/>
        <v>45755</v>
      </c>
      <c r="B321" s="14">
        <v>504.66149999999999</v>
      </c>
      <c r="C321" s="14">
        <v>782.85180000000003</v>
      </c>
      <c r="D321" s="14">
        <v>788.35159999999996</v>
      </c>
      <c r="E321" s="14">
        <v>777.24770000000001</v>
      </c>
    </row>
    <row r="322" spans="1:5">
      <c r="A322" s="12">
        <f t="shared" si="4"/>
        <v>45756</v>
      </c>
      <c r="B322" s="14">
        <v>504.78750000000002</v>
      </c>
      <c r="C322" s="14">
        <v>784.16060000000004</v>
      </c>
      <c r="D322" s="14">
        <v>789.8066</v>
      </c>
      <c r="E322" s="14">
        <v>777.86300000000006</v>
      </c>
    </row>
    <row r="323" spans="1:5">
      <c r="A323" s="12">
        <f t="shared" si="4"/>
        <v>45757</v>
      </c>
      <c r="B323" s="14">
        <v>504.91370000000001</v>
      </c>
      <c r="C323" s="14">
        <v>780.6816</v>
      </c>
      <c r="D323" s="14">
        <v>784.88779999999997</v>
      </c>
      <c r="E323" s="14">
        <v>776.32529999999997</v>
      </c>
    </row>
    <row r="324" spans="1:5">
      <c r="A324" s="12">
        <f t="shared" ref="A324:A368" si="5">WORKDAY(A323,1,Días_festivos)</f>
        <v>45758</v>
      </c>
      <c r="B324" s="14">
        <v>505.03989999999999</v>
      </c>
      <c r="C324" s="14">
        <v>778.92240000000004</v>
      </c>
      <c r="D324" s="14">
        <v>782.60119999999995</v>
      </c>
      <c r="E324" s="14">
        <v>775.55759999999998</v>
      </c>
    </row>
    <row r="325" spans="1:5">
      <c r="A325" s="12">
        <f t="shared" si="5"/>
        <v>45761</v>
      </c>
      <c r="B325" s="14">
        <v>505.4187</v>
      </c>
      <c r="C325" s="14">
        <v>780.6472</v>
      </c>
      <c r="D325" s="14">
        <v>780.65260000000001</v>
      </c>
      <c r="E325" s="14">
        <v>776.7636</v>
      </c>
    </row>
    <row r="326" spans="1:5">
      <c r="A326" s="12">
        <f t="shared" si="5"/>
        <v>45762</v>
      </c>
      <c r="B326" s="14">
        <v>505.54509999999999</v>
      </c>
      <c r="C326" s="14">
        <v>783.11569999999995</v>
      </c>
      <c r="D326" s="14">
        <v>780.47519999999997</v>
      </c>
      <c r="E326" s="14">
        <v>778.61569999999995</v>
      </c>
    </row>
    <row r="327" spans="1:5">
      <c r="A327" s="12">
        <f t="shared" si="5"/>
        <v>45763</v>
      </c>
      <c r="B327" s="14">
        <v>505.67149999999998</v>
      </c>
      <c r="C327" s="14">
        <v>783.6739</v>
      </c>
      <c r="D327" s="14">
        <v>781.78219999999999</v>
      </c>
      <c r="E327" s="14">
        <v>779.20370000000003</v>
      </c>
    </row>
    <row r="328" spans="1:5">
      <c r="A328" s="12">
        <f t="shared" si="5"/>
        <v>45768</v>
      </c>
      <c r="B328" s="14">
        <v>506.30360000000002</v>
      </c>
      <c r="C328" s="14">
        <v>781.67100000000005</v>
      </c>
      <c r="D328" s="14">
        <v>780.29449999999997</v>
      </c>
      <c r="E328" s="14">
        <v>778.86810000000003</v>
      </c>
    </row>
    <row r="329" spans="1:5">
      <c r="A329" s="12">
        <f t="shared" si="5"/>
        <v>45769</v>
      </c>
      <c r="B329" s="14">
        <v>506.43040000000002</v>
      </c>
      <c r="C329" s="14">
        <v>783.63419999999996</v>
      </c>
      <c r="D329" s="14">
        <v>783.15160000000003</v>
      </c>
      <c r="E329" s="14">
        <v>779.69820000000004</v>
      </c>
    </row>
    <row r="330" spans="1:5">
      <c r="A330" s="12">
        <f t="shared" si="5"/>
        <v>45770</v>
      </c>
      <c r="B330" s="14">
        <v>506.5573</v>
      </c>
      <c r="C330" s="14">
        <v>785.17759999999998</v>
      </c>
      <c r="D330" s="14">
        <v>783.63080000000002</v>
      </c>
      <c r="E330" s="14">
        <v>780.42759999999998</v>
      </c>
    </row>
    <row r="331" spans="1:5">
      <c r="A331" s="12">
        <f t="shared" si="5"/>
        <v>45771</v>
      </c>
      <c r="B331" s="14">
        <v>506.6841</v>
      </c>
      <c r="C331" s="14">
        <v>788.81920000000002</v>
      </c>
      <c r="D331" s="14">
        <v>786.74429999999995</v>
      </c>
      <c r="E331" s="14">
        <v>782.49570000000006</v>
      </c>
    </row>
    <row r="332" spans="1:5">
      <c r="A332" s="12">
        <f t="shared" si="5"/>
        <v>45772</v>
      </c>
      <c r="B332" s="14">
        <v>506.81119999999999</v>
      </c>
      <c r="C332" s="14">
        <v>790.51220000000001</v>
      </c>
      <c r="D332" s="14">
        <v>787.93380000000002</v>
      </c>
      <c r="E332" s="14">
        <v>783.33240000000001</v>
      </c>
    </row>
    <row r="333" spans="1:5">
      <c r="A333" s="12">
        <f t="shared" si="5"/>
        <v>45775</v>
      </c>
      <c r="B333" s="14">
        <v>507.19260000000003</v>
      </c>
      <c r="C333" s="14">
        <v>791.13229999999999</v>
      </c>
      <c r="D333" s="14">
        <v>789.83439999999996</v>
      </c>
      <c r="E333" s="14">
        <v>783.50009999999997</v>
      </c>
    </row>
    <row r="334" spans="1:5">
      <c r="A334" s="12">
        <f t="shared" si="5"/>
        <v>45776</v>
      </c>
      <c r="B334" s="14">
        <v>507.32029999999997</v>
      </c>
      <c r="C334" s="14">
        <v>791.17769999999996</v>
      </c>
      <c r="D334" s="14">
        <v>792.0806</v>
      </c>
      <c r="E334" s="14">
        <v>783.72950000000003</v>
      </c>
    </row>
    <row r="335" spans="1:5">
      <c r="A335" s="12">
        <f t="shared" si="5"/>
        <v>45777</v>
      </c>
      <c r="B335" s="14">
        <v>507.44830000000002</v>
      </c>
      <c r="C335" s="14">
        <v>789.90509999999995</v>
      </c>
      <c r="D335" s="14">
        <v>792.32979999999998</v>
      </c>
      <c r="E335" s="14">
        <v>783.29780000000005</v>
      </c>
    </row>
    <row r="336" spans="1:5">
      <c r="A336" s="12">
        <f t="shared" si="5"/>
        <v>45779</v>
      </c>
      <c r="B336" s="14">
        <v>507.70229999999998</v>
      </c>
      <c r="C336" s="14">
        <v>789.19389999999999</v>
      </c>
      <c r="D336" s="14">
        <v>793.17729999999995</v>
      </c>
      <c r="E336" s="14">
        <v>782.90660000000003</v>
      </c>
    </row>
    <row r="337" spans="1:5">
      <c r="A337" s="12">
        <f t="shared" si="5"/>
        <v>45782</v>
      </c>
      <c r="B337" s="14">
        <v>508.08390000000003</v>
      </c>
      <c r="C337" s="14">
        <v>789.12710000000004</v>
      </c>
      <c r="D337" s="14">
        <v>793.21379999999999</v>
      </c>
      <c r="E337" s="14">
        <v>783.3433</v>
      </c>
    </row>
    <row r="338" spans="1:5">
      <c r="A338" s="12">
        <f t="shared" si="5"/>
        <v>45783</v>
      </c>
      <c r="B338" s="14">
        <v>508.21140000000003</v>
      </c>
      <c r="C338" s="14">
        <v>791.44740000000002</v>
      </c>
      <c r="D338" s="14">
        <v>796.80730000000005</v>
      </c>
      <c r="E338" s="14">
        <v>785.17880000000002</v>
      </c>
    </row>
    <row r="339" spans="1:5">
      <c r="A339" s="12">
        <f t="shared" si="5"/>
        <v>45784</v>
      </c>
      <c r="B339" s="14">
        <v>508.33859999999999</v>
      </c>
      <c r="C339" s="14">
        <v>793.44320000000005</v>
      </c>
      <c r="D339" s="14">
        <v>799.74599999999998</v>
      </c>
      <c r="E339" s="14">
        <v>786.52980000000002</v>
      </c>
    </row>
    <row r="340" spans="1:5">
      <c r="A340" s="12">
        <f t="shared" si="5"/>
        <v>45785</v>
      </c>
      <c r="B340" s="14">
        <v>508.4658</v>
      </c>
      <c r="C340" s="14">
        <v>792.55020000000002</v>
      </c>
      <c r="D340" s="14">
        <v>802.85680000000002</v>
      </c>
      <c r="E340" s="14">
        <v>785.53560000000004</v>
      </c>
    </row>
    <row r="341" spans="1:5">
      <c r="A341" s="12">
        <f t="shared" si="5"/>
        <v>45786</v>
      </c>
      <c r="B341" s="14">
        <v>508.59300000000002</v>
      </c>
      <c r="C341" s="14">
        <v>790.98519999999996</v>
      </c>
      <c r="D341" s="14">
        <v>801.60680000000002</v>
      </c>
      <c r="E341" s="14">
        <v>784.89059999999995</v>
      </c>
    </row>
    <row r="342" spans="1:5">
      <c r="A342" s="12">
        <f t="shared" si="5"/>
        <v>45789</v>
      </c>
      <c r="B342" s="14">
        <v>508.97489999999999</v>
      </c>
      <c r="C342" s="14">
        <v>791.30240000000003</v>
      </c>
      <c r="D342" s="14">
        <v>798.8365</v>
      </c>
      <c r="E342" s="14">
        <v>785.02650000000006</v>
      </c>
    </row>
    <row r="343" spans="1:5">
      <c r="A343" s="12">
        <f t="shared" si="5"/>
        <v>45790</v>
      </c>
      <c r="B343" s="14">
        <v>509.10230000000001</v>
      </c>
      <c r="C343" s="14">
        <v>791.02869999999996</v>
      </c>
      <c r="D343" s="14">
        <v>797.41920000000005</v>
      </c>
      <c r="E343" s="14">
        <v>784.52149999999995</v>
      </c>
    </row>
    <row r="344" spans="1:5">
      <c r="A344" s="12">
        <f t="shared" si="5"/>
        <v>45791</v>
      </c>
      <c r="B344" s="14">
        <v>509.2296</v>
      </c>
      <c r="C344" s="14">
        <v>787.49570000000006</v>
      </c>
      <c r="D344" s="14">
        <v>792.56230000000005</v>
      </c>
      <c r="E344" s="14">
        <v>782.41890000000001</v>
      </c>
    </row>
    <row r="345" spans="1:5">
      <c r="A345" s="12">
        <f t="shared" si="5"/>
        <v>45792</v>
      </c>
      <c r="B345" s="14">
        <v>509.3569</v>
      </c>
      <c r="C345" s="14">
        <v>791.21</v>
      </c>
      <c r="D345" s="14">
        <v>795.22760000000005</v>
      </c>
      <c r="E345" s="14">
        <v>785.38829999999996</v>
      </c>
    </row>
    <row r="346" spans="1:5">
      <c r="A346" s="12">
        <f t="shared" si="5"/>
        <v>45793</v>
      </c>
      <c r="B346" s="14">
        <v>509.47730000000001</v>
      </c>
      <c r="C346" s="14">
        <v>791.52760000000001</v>
      </c>
      <c r="D346" s="14">
        <v>796.49800000000005</v>
      </c>
      <c r="E346" s="14">
        <v>785.72739999999999</v>
      </c>
    </row>
    <row r="347" spans="1:5">
      <c r="A347" s="12">
        <f t="shared" si="5"/>
        <v>45796</v>
      </c>
      <c r="B347" s="14">
        <v>509.83859999999999</v>
      </c>
      <c r="C347" s="14">
        <v>793.13739999999996</v>
      </c>
      <c r="D347" s="14">
        <v>798.19290000000001</v>
      </c>
      <c r="E347" s="14">
        <v>786.82989999999995</v>
      </c>
    </row>
    <row r="348" spans="1:5">
      <c r="A348" s="12">
        <f t="shared" si="5"/>
        <v>45797</v>
      </c>
      <c r="B348" s="14">
        <v>509.95909999999998</v>
      </c>
      <c r="C348" s="14">
        <v>793.30139999999994</v>
      </c>
      <c r="D348" s="14">
        <v>799.22580000000005</v>
      </c>
      <c r="E348" s="14">
        <v>787.1739</v>
      </c>
    </row>
    <row r="349" spans="1:5">
      <c r="A349" s="12">
        <f t="shared" si="5"/>
        <v>45798</v>
      </c>
      <c r="B349" s="14">
        <v>510.0797</v>
      </c>
      <c r="C349" s="14">
        <v>791.15599999999995</v>
      </c>
      <c r="D349" s="14">
        <v>797.16700000000003</v>
      </c>
      <c r="E349" s="14">
        <v>786.30520000000001</v>
      </c>
    </row>
    <row r="350" spans="1:5">
      <c r="A350" s="12">
        <f t="shared" si="5"/>
        <v>45799</v>
      </c>
      <c r="B350" s="14">
        <v>510.20049999999998</v>
      </c>
      <c r="C350" s="14">
        <v>792.87199999999996</v>
      </c>
      <c r="D350" s="14">
        <v>800.55139999999994</v>
      </c>
      <c r="E350" s="14">
        <v>787.32929999999999</v>
      </c>
    </row>
    <row r="351" spans="1:5">
      <c r="A351" s="12">
        <f t="shared" si="5"/>
        <v>45800</v>
      </c>
      <c r="B351" s="14">
        <v>510.32139999999998</v>
      </c>
      <c r="C351" s="14">
        <v>792.03189999999995</v>
      </c>
      <c r="D351" s="14">
        <v>799.92520000000002</v>
      </c>
      <c r="E351" s="14">
        <v>786.84529999999995</v>
      </c>
    </row>
    <row r="352" spans="1:5">
      <c r="A352" s="12">
        <f t="shared" si="5"/>
        <v>45803</v>
      </c>
      <c r="B352" s="14">
        <v>510.68369999999999</v>
      </c>
      <c r="C352" s="14">
        <v>792.09059999999999</v>
      </c>
      <c r="D352" s="14">
        <v>799.85839999999996</v>
      </c>
      <c r="E352" s="14">
        <v>787.18050000000005</v>
      </c>
    </row>
    <row r="353" spans="1:5">
      <c r="A353" s="12">
        <f t="shared" si="5"/>
        <v>45804</v>
      </c>
      <c r="B353" s="14">
        <v>510.80459999999999</v>
      </c>
      <c r="C353" s="14">
        <v>794.44219999999996</v>
      </c>
      <c r="D353" s="14">
        <v>801.04819999999995</v>
      </c>
      <c r="E353" s="14">
        <v>788.56410000000005</v>
      </c>
    </row>
    <row r="354" spans="1:5">
      <c r="A354" s="12">
        <f t="shared" si="5"/>
        <v>45805</v>
      </c>
      <c r="B354" s="14">
        <v>510.92520000000002</v>
      </c>
      <c r="C354" s="14">
        <v>794.47090000000003</v>
      </c>
      <c r="D354" s="14">
        <v>801.30989999999997</v>
      </c>
      <c r="E354" s="14">
        <v>789.0317</v>
      </c>
    </row>
    <row r="355" spans="1:5">
      <c r="A355" s="12">
        <f t="shared" si="5"/>
        <v>45806</v>
      </c>
      <c r="B355" s="14">
        <v>511.04599999999999</v>
      </c>
      <c r="C355" s="14">
        <v>796.23140000000001</v>
      </c>
      <c r="D355" s="14">
        <v>802.82169999999996</v>
      </c>
      <c r="E355" s="14">
        <v>790.40840000000003</v>
      </c>
    </row>
    <row r="356" spans="1:5">
      <c r="A356" s="12">
        <f t="shared" si="5"/>
        <v>45807</v>
      </c>
      <c r="B356" s="14">
        <v>511.28870000000001</v>
      </c>
      <c r="C356" s="14">
        <v>795.86540000000002</v>
      </c>
      <c r="D356" s="14">
        <v>801.4991</v>
      </c>
      <c r="E356" s="14">
        <v>790.49549999999999</v>
      </c>
    </row>
    <row r="357" spans="1:5">
      <c r="A357" s="12">
        <f t="shared" si="5"/>
        <v>45810</v>
      </c>
      <c r="B357" s="14">
        <v>511.53019999999998</v>
      </c>
      <c r="C357" s="14">
        <v>796.45180000000005</v>
      </c>
      <c r="D357" s="14">
        <v>800.47270000000003</v>
      </c>
      <c r="E357" s="14">
        <v>791.11040000000003</v>
      </c>
    </row>
    <row r="358" spans="1:5">
      <c r="A358" s="12">
        <f t="shared" si="5"/>
        <v>45811</v>
      </c>
      <c r="B358" s="14">
        <v>511.6508</v>
      </c>
      <c r="C358" s="14">
        <v>798.15980000000002</v>
      </c>
      <c r="D358" s="14">
        <v>805.81370000000004</v>
      </c>
      <c r="E358" s="14">
        <v>792.15899999999999</v>
      </c>
    </row>
    <row r="359" spans="1:5">
      <c r="A359" s="12">
        <f t="shared" si="5"/>
        <v>45812</v>
      </c>
      <c r="B359" s="14">
        <v>511.7713</v>
      </c>
      <c r="C359" s="14">
        <v>801.14260000000002</v>
      </c>
      <c r="D359" s="14">
        <v>809.92489999999998</v>
      </c>
      <c r="E359" s="14">
        <v>794.52560000000005</v>
      </c>
    </row>
    <row r="360" spans="1:5">
      <c r="A360" s="12">
        <f t="shared" si="5"/>
        <v>45813</v>
      </c>
      <c r="B360" s="14">
        <v>511.89159999999998</v>
      </c>
      <c r="C360" s="14">
        <v>802.15060000000005</v>
      </c>
      <c r="D360" s="14">
        <v>811.36090000000002</v>
      </c>
      <c r="E360" s="14">
        <v>795.26199999999994</v>
      </c>
    </row>
    <row r="361" spans="1:5">
      <c r="A361" s="12">
        <f t="shared" si="5"/>
        <v>45814</v>
      </c>
      <c r="B361" s="14">
        <v>512.01179999999999</v>
      </c>
      <c r="C361" s="14">
        <v>801.47289999999998</v>
      </c>
      <c r="D361" s="14">
        <v>810.43119999999999</v>
      </c>
      <c r="E361" s="14">
        <v>794.80060000000003</v>
      </c>
    </row>
    <row r="362" spans="1:5">
      <c r="A362" s="12">
        <f t="shared" si="5"/>
        <v>45817</v>
      </c>
      <c r="B362" s="14">
        <v>512.3732</v>
      </c>
      <c r="C362" s="14">
        <v>802.72950000000003</v>
      </c>
      <c r="D362" s="14">
        <v>812.36850000000004</v>
      </c>
      <c r="E362" s="14">
        <v>795.35379999999998</v>
      </c>
    </row>
    <row r="363" spans="1:5">
      <c r="A363" s="12">
        <f t="shared" si="5"/>
        <v>45818</v>
      </c>
      <c r="B363" s="14">
        <v>512.49369999999999</v>
      </c>
      <c r="C363" s="14">
        <v>802.08069999999998</v>
      </c>
      <c r="D363" s="14">
        <v>813.13850000000002</v>
      </c>
      <c r="E363" s="14">
        <v>794.58780000000002</v>
      </c>
    </row>
    <row r="364" spans="1:5">
      <c r="A364" s="12">
        <f t="shared" si="5"/>
        <v>45819</v>
      </c>
      <c r="B364" s="14">
        <v>512.61429999999996</v>
      </c>
      <c r="C364" s="14">
        <v>801.07820000000004</v>
      </c>
      <c r="D364" s="14">
        <v>808.69899999999996</v>
      </c>
      <c r="E364" s="14">
        <v>793.9393</v>
      </c>
    </row>
    <row r="365" spans="1:5">
      <c r="A365" s="12">
        <f t="shared" si="5"/>
        <v>45820</v>
      </c>
      <c r="B365" s="14">
        <v>512.73490000000004</v>
      </c>
      <c r="C365" s="14">
        <v>801.45889999999997</v>
      </c>
      <c r="D365" s="14">
        <v>806.85850000000005</v>
      </c>
      <c r="E365" s="14">
        <v>794.20820000000003</v>
      </c>
    </row>
    <row r="366" spans="1:5">
      <c r="A366" s="12">
        <f t="shared" si="5"/>
        <v>45821</v>
      </c>
      <c r="B366" s="14">
        <v>512.85569999999996</v>
      </c>
      <c r="C366" s="14">
        <v>800.25390000000004</v>
      </c>
      <c r="D366" s="14">
        <v>805.33939999999996</v>
      </c>
      <c r="E366" s="14">
        <v>793.74580000000003</v>
      </c>
    </row>
    <row r="367" spans="1:5">
      <c r="A367" s="12">
        <f t="shared" si="5"/>
        <v>45824</v>
      </c>
      <c r="B367" s="14">
        <v>513.21849999999995</v>
      </c>
      <c r="C367" s="14">
        <v>799.96720000000005</v>
      </c>
      <c r="D367" s="14">
        <v>805.26459999999997</v>
      </c>
      <c r="E367" s="14">
        <v>794.02049999999997</v>
      </c>
    </row>
    <row r="368" spans="1:5">
      <c r="A368" s="12">
        <f t="shared" si="5"/>
        <v>45825</v>
      </c>
      <c r="B368" s="14">
        <v>513.33969999999999</v>
      </c>
      <c r="C368" s="14">
        <v>801.41129999999998</v>
      </c>
      <c r="D368" s="14">
        <v>805.50459999999998</v>
      </c>
      <c r="E368" s="14">
        <v>795.01030000000003</v>
      </c>
    </row>
    <row r="369" spans="1:5">
      <c r="A369" s="12">
        <v>45826</v>
      </c>
      <c r="B369" s="14">
        <v>513.46079999999995</v>
      </c>
      <c r="C369" s="14">
        <v>802.5625</v>
      </c>
      <c r="D369" s="14">
        <v>805.50459999999998</v>
      </c>
      <c r="E369" s="14">
        <v>795.01030000000003</v>
      </c>
    </row>
    <row r="370" spans="1:5">
      <c r="A370" s="12">
        <v>45827</v>
      </c>
      <c r="B370" s="14">
        <v>513.58199999999999</v>
      </c>
      <c r="C370" s="14">
        <v>802.70169999999996</v>
      </c>
      <c r="D370" s="14">
        <v>806.15729999999996</v>
      </c>
      <c r="E370" s="14">
        <v>796.20050000000003</v>
      </c>
    </row>
    <row r="371" spans="1:5">
      <c r="A371" s="12">
        <v>45828</v>
      </c>
      <c r="B371" s="14">
        <v>513.70320000000004</v>
      </c>
      <c r="C371" s="14">
        <v>800.30370000000005</v>
      </c>
      <c r="D371" s="14">
        <v>807.60599999999999</v>
      </c>
      <c r="E371" s="14">
        <v>794.92780000000005</v>
      </c>
    </row>
    <row r="372" spans="1:5">
      <c r="A372" s="12">
        <v>45831</v>
      </c>
      <c r="B372" s="14">
        <v>514.06799999999998</v>
      </c>
      <c r="C372" s="14">
        <v>801.45330000000001</v>
      </c>
      <c r="D372" s="14">
        <v>809.27350000000001</v>
      </c>
      <c r="E372" s="14">
        <v>795.70349999999996</v>
      </c>
    </row>
    <row r="373" spans="1:5">
      <c r="A373" s="12">
        <f t="shared" ref="A373:A499" si="6">WORKDAY(A372,1,Días_festivos)</f>
        <v>45832</v>
      </c>
      <c r="B373" s="14">
        <v>514.1893</v>
      </c>
      <c r="C373" s="14">
        <v>803.79849999999999</v>
      </c>
      <c r="D373" s="14">
        <v>811.26250000000005</v>
      </c>
      <c r="E373" s="14">
        <v>797.23379999999997</v>
      </c>
    </row>
    <row r="374" spans="1:5">
      <c r="A374" s="12">
        <f t="shared" si="6"/>
        <v>45833</v>
      </c>
      <c r="B374" s="14">
        <v>514.31089999999995</v>
      </c>
      <c r="C374" s="14">
        <v>805.64580000000001</v>
      </c>
      <c r="D374" s="14">
        <v>811.99959999999999</v>
      </c>
      <c r="E374" s="14">
        <v>798.70749999999998</v>
      </c>
    </row>
    <row r="375" spans="1:5">
      <c r="A375" s="12">
        <v>45834</v>
      </c>
      <c r="B375" s="14">
        <v>514.43259999999998</v>
      </c>
      <c r="C375" s="14">
        <v>806.21029999999996</v>
      </c>
      <c r="D375" s="14">
        <v>813.90779999999995</v>
      </c>
      <c r="E375" s="14">
        <v>799.10080000000005</v>
      </c>
    </row>
    <row r="376" spans="1:5">
      <c r="A376" s="12">
        <v>45835</v>
      </c>
      <c r="B376" s="14">
        <v>514.54750000000001</v>
      </c>
      <c r="C376" s="14">
        <v>804.6259</v>
      </c>
      <c r="D376" s="14">
        <v>811.44179999999994</v>
      </c>
      <c r="E376" s="14">
        <v>798.46450000000004</v>
      </c>
    </row>
    <row r="377" spans="1:5">
      <c r="A377" s="12">
        <v>45838</v>
      </c>
      <c r="B377" s="14">
        <v>514.54750000000001</v>
      </c>
      <c r="C377" s="14">
        <v>804.6259</v>
      </c>
      <c r="D377" s="14">
        <v>811.44179999999994</v>
      </c>
      <c r="E377" s="14">
        <v>798.46450000000004</v>
      </c>
    </row>
    <row r="378" spans="1:5">
      <c r="A378" s="12">
        <v>45839</v>
      </c>
      <c r="B378" s="14">
        <v>515.01179999999999</v>
      </c>
      <c r="C378" s="14">
        <v>808.56359999999995</v>
      </c>
      <c r="D378" s="14">
        <v>814.62239999999997</v>
      </c>
      <c r="E378" s="14">
        <v>800.34910000000002</v>
      </c>
    </row>
    <row r="379" spans="1:5">
      <c r="A379" s="12">
        <v>45840</v>
      </c>
      <c r="B379" s="14">
        <v>515.01179999999999</v>
      </c>
      <c r="C379" s="14">
        <v>808.56359999999995</v>
      </c>
      <c r="D379" s="14">
        <v>814.62239999999997</v>
      </c>
      <c r="E379" s="14">
        <v>800.34910000000002</v>
      </c>
    </row>
    <row r="380" spans="1:5">
      <c r="A380" s="12">
        <v>45841</v>
      </c>
      <c r="B380" s="14">
        <v>515.12630000000001</v>
      </c>
      <c r="C380" s="14">
        <v>809.42809999999997</v>
      </c>
      <c r="D380" s="14">
        <v>815.04679999999996</v>
      </c>
      <c r="E380" s="14">
        <v>801.35730000000001</v>
      </c>
    </row>
    <row r="381" spans="1:5">
      <c r="A381" s="12">
        <v>45842</v>
      </c>
      <c r="B381" s="14">
        <v>515.35440000000006</v>
      </c>
      <c r="C381" s="14">
        <v>808.04610000000002</v>
      </c>
      <c r="D381" s="14">
        <v>813.45870000000002</v>
      </c>
      <c r="E381" s="14">
        <v>800.71450000000004</v>
      </c>
    </row>
    <row r="382" spans="1:5">
      <c r="A382" s="12">
        <v>45845</v>
      </c>
      <c r="B382" s="14">
        <v>515.35440000000006</v>
      </c>
      <c r="C382" s="14">
        <v>808.04610000000002</v>
      </c>
      <c r="D382" s="14">
        <v>813.45870000000002</v>
      </c>
      <c r="E382" s="14">
        <v>800.71450000000004</v>
      </c>
    </row>
    <row r="383" spans="1:5">
      <c r="A383" s="12">
        <v>45846</v>
      </c>
      <c r="B383" s="14">
        <v>515.69709999999998</v>
      </c>
      <c r="C383" s="14">
        <v>807.50450000000001</v>
      </c>
      <c r="D383" s="14">
        <v>813.84849999999994</v>
      </c>
      <c r="E383" s="14">
        <v>800.98</v>
      </c>
    </row>
    <row r="384" spans="1:5">
      <c r="A384" s="12">
        <v>45847</v>
      </c>
      <c r="B384" s="14">
        <v>515.81140000000005</v>
      </c>
      <c r="C384" s="14">
        <v>806.29060000000004</v>
      </c>
      <c r="D384" s="14">
        <v>812.26009999999997</v>
      </c>
      <c r="E384" s="14">
        <v>800.6798</v>
      </c>
    </row>
    <row r="385" spans="1:5">
      <c r="A385" s="12">
        <v>45848</v>
      </c>
      <c r="B385" s="14">
        <v>515.92570000000001</v>
      </c>
      <c r="C385" s="14">
        <v>808.72149999999999</v>
      </c>
      <c r="D385" s="14">
        <v>815.51859999999999</v>
      </c>
      <c r="E385" s="14">
        <v>802.03579999999999</v>
      </c>
    </row>
    <row r="386" spans="1:5">
      <c r="A386" s="12">
        <v>45849</v>
      </c>
      <c r="B386" s="14">
        <v>516.04010000000005</v>
      </c>
      <c r="C386" s="14">
        <v>807.78340000000003</v>
      </c>
      <c r="D386" s="14">
        <v>814.125</v>
      </c>
      <c r="E386" s="14">
        <v>802.0797</v>
      </c>
    </row>
    <row r="387" spans="1:5">
      <c r="A387" s="12">
        <v>45852</v>
      </c>
      <c r="B387" s="14">
        <v>516.15440000000001</v>
      </c>
      <c r="C387" s="14">
        <v>806.18389999999999</v>
      </c>
      <c r="D387" s="14">
        <v>810.65520000000004</v>
      </c>
      <c r="E387" s="14">
        <v>801.23929999999996</v>
      </c>
    </row>
    <row r="388" spans="1:5">
      <c r="A388" s="12">
        <v>45853</v>
      </c>
      <c r="B388" s="14">
        <v>516.49760000000003</v>
      </c>
      <c r="C388" s="14">
        <v>807.67780000000005</v>
      </c>
      <c r="D388" s="14">
        <v>813.83780000000002</v>
      </c>
      <c r="E388" s="14">
        <v>802.32090000000005</v>
      </c>
    </row>
    <row r="389" spans="1:5">
      <c r="A389" s="12">
        <v>45854</v>
      </c>
      <c r="B389" s="14">
        <v>516.61210000000005</v>
      </c>
      <c r="C389" s="14">
        <v>806.75429999999994</v>
      </c>
      <c r="D389" s="14">
        <v>816.60530000000006</v>
      </c>
      <c r="E389" s="14">
        <v>801.75440000000003</v>
      </c>
    </row>
    <row r="390" spans="1:5">
      <c r="A390" s="12">
        <v>45855</v>
      </c>
      <c r="B390" s="14">
        <v>516.72640000000001</v>
      </c>
      <c r="C390" s="14">
        <v>807.59950000000003</v>
      </c>
      <c r="D390" s="14">
        <v>819.05849999999998</v>
      </c>
      <c r="E390" s="14">
        <v>802.28830000000005</v>
      </c>
    </row>
    <row r="391" spans="1:5">
      <c r="A391" s="12">
        <v>45856</v>
      </c>
      <c r="B391" s="14">
        <v>516.84090000000003</v>
      </c>
      <c r="C391" s="14">
        <v>807.29359999999997</v>
      </c>
      <c r="D391" s="14">
        <v>819.55820000000006</v>
      </c>
      <c r="E391" s="14">
        <v>802.13300000000004</v>
      </c>
    </row>
    <row r="392" spans="1:5">
      <c r="A392" s="12">
        <v>45859</v>
      </c>
      <c r="B392" s="14">
        <v>516.95529999999997</v>
      </c>
      <c r="C392" s="14">
        <v>806.49090000000001</v>
      </c>
      <c r="D392" s="14">
        <v>817.74749999999995</v>
      </c>
      <c r="E392" s="14">
        <v>801.8288</v>
      </c>
    </row>
    <row r="393" spans="1:5">
      <c r="A393" s="12">
        <v>45860</v>
      </c>
      <c r="B393" s="14">
        <v>517.29949999999997</v>
      </c>
      <c r="C393" s="14">
        <v>807.70540000000005</v>
      </c>
      <c r="D393" s="14">
        <v>818.99080000000004</v>
      </c>
      <c r="E393" s="14">
        <v>802.82619999999997</v>
      </c>
    </row>
    <row r="394" spans="1:5">
      <c r="A394" s="12">
        <v>45861</v>
      </c>
      <c r="B394" s="14">
        <v>517.41459999999995</v>
      </c>
      <c r="C394" s="14">
        <v>807.38660000000004</v>
      </c>
      <c r="D394" s="14">
        <v>818.19650000000001</v>
      </c>
      <c r="E394" s="14">
        <v>802.88350000000003</v>
      </c>
    </row>
    <row r="395" spans="1:5">
      <c r="A395" s="12">
        <v>45862</v>
      </c>
      <c r="B395" s="14">
        <v>517.52940000000001</v>
      </c>
      <c r="C395" s="14">
        <v>808.11509999999998</v>
      </c>
      <c r="D395" s="14">
        <v>819.53110000000004</v>
      </c>
      <c r="E395" s="14">
        <v>803.12099999999998</v>
      </c>
    </row>
    <row r="396" spans="1:5">
      <c r="A396" s="12">
        <v>45863</v>
      </c>
      <c r="B396" s="14">
        <v>517.64440000000002</v>
      </c>
      <c r="C396" s="14">
        <v>807.83209999999997</v>
      </c>
      <c r="D396" s="14">
        <v>816.25289999999995</v>
      </c>
      <c r="E396" s="14">
        <v>802.75729999999999</v>
      </c>
    </row>
    <row r="397" spans="1:5">
      <c r="A397" s="12">
        <v>45866</v>
      </c>
      <c r="B397" s="14">
        <v>517.75900000000001</v>
      </c>
      <c r="C397" s="14">
        <v>807.20180000000005</v>
      </c>
      <c r="D397" s="14">
        <v>814.81849999999997</v>
      </c>
      <c r="E397" s="14">
        <v>802.33759999999995</v>
      </c>
    </row>
    <row r="398" spans="1:5">
      <c r="A398" s="12">
        <v>45867</v>
      </c>
      <c r="B398" s="14">
        <v>518.10289999999998</v>
      </c>
      <c r="C398" s="14">
        <v>807.23500000000001</v>
      </c>
      <c r="D398" s="14">
        <v>816.10619999999994</v>
      </c>
      <c r="E398" s="14">
        <v>802.5806</v>
      </c>
    </row>
    <row r="399" spans="1:5">
      <c r="A399" s="12">
        <v>45868</v>
      </c>
      <c r="B399" s="14">
        <v>518.21759999999995</v>
      </c>
      <c r="C399" s="14">
        <v>809.67840000000001</v>
      </c>
      <c r="D399" s="14">
        <v>819.02949999999998</v>
      </c>
      <c r="E399" s="14">
        <v>804.32730000000004</v>
      </c>
    </row>
    <row r="400" spans="1:5">
      <c r="A400" s="12">
        <v>45869</v>
      </c>
      <c r="B400" s="14">
        <v>518.33249999999998</v>
      </c>
      <c r="C400" s="14">
        <v>810.44550000000004</v>
      </c>
      <c r="D400" s="14">
        <v>820.67600000000004</v>
      </c>
      <c r="E400" s="14">
        <v>804.95939999999996</v>
      </c>
    </row>
    <row r="401" spans="1:5">
      <c r="A401" s="12">
        <v>45870</v>
      </c>
      <c r="B401" s="14">
        <v>518.44839999999999</v>
      </c>
      <c r="C401" s="14">
        <v>810.67579999999998</v>
      </c>
      <c r="D401" s="14">
        <v>823.33759999999995</v>
      </c>
      <c r="E401" s="14">
        <v>805.23670000000004</v>
      </c>
    </row>
    <row r="402" spans="1:5">
      <c r="A402" s="12">
        <v>45873</v>
      </c>
      <c r="B402" s="14">
        <v>518.56330000000003</v>
      </c>
      <c r="C402" s="14">
        <v>814.74390000000005</v>
      </c>
      <c r="D402" s="14">
        <v>826.83010000000002</v>
      </c>
      <c r="E402" s="14">
        <v>808.20709999999997</v>
      </c>
    </row>
    <row r="403" spans="1:5">
      <c r="A403" s="12">
        <v>45874</v>
      </c>
      <c r="B403" s="14">
        <v>518.90809999999999</v>
      </c>
      <c r="C403" s="14">
        <v>816.71439999999996</v>
      </c>
      <c r="D403" s="14">
        <v>826.84720000000004</v>
      </c>
      <c r="E403" s="14">
        <v>809.56380000000001</v>
      </c>
    </row>
    <row r="404" spans="1:5">
      <c r="A404" s="12">
        <v>45875</v>
      </c>
      <c r="B404" s="14">
        <v>519.02319999999997</v>
      </c>
      <c r="C404" s="14">
        <v>817.28139999999996</v>
      </c>
      <c r="D404" s="14">
        <v>827.04269999999997</v>
      </c>
      <c r="E404" s="14">
        <v>809.7654</v>
      </c>
    </row>
    <row r="405" spans="1:5">
      <c r="A405" s="12">
        <v>45876</v>
      </c>
      <c r="B405" s="14">
        <v>519.13819999999998</v>
      </c>
      <c r="C405" s="14">
        <v>818.72469999999998</v>
      </c>
      <c r="D405" s="14">
        <v>826.44090000000006</v>
      </c>
      <c r="E405" s="14">
        <v>810.99680000000001</v>
      </c>
    </row>
    <row r="406" spans="1:5">
      <c r="A406" s="12">
        <v>45877</v>
      </c>
      <c r="B406" s="14">
        <v>519.25350000000003</v>
      </c>
      <c r="C406" s="14">
        <v>820.56769999999995</v>
      </c>
      <c r="D406" s="14">
        <v>828.22439999999995</v>
      </c>
      <c r="E406" s="14">
        <v>812.50419999999997</v>
      </c>
    </row>
    <row r="407" spans="1:5">
      <c r="A407" s="12">
        <v>45880</v>
      </c>
      <c r="B407" s="14">
        <v>519.36519999999996</v>
      </c>
      <c r="C407" s="14">
        <v>819.04390000000001</v>
      </c>
      <c r="D407" s="14">
        <v>827.97730000000001</v>
      </c>
      <c r="E407" s="14">
        <v>811.61429999999996</v>
      </c>
    </row>
    <row r="408" spans="1:5">
      <c r="A408" s="12">
        <v>45881</v>
      </c>
      <c r="B408" s="14">
        <v>519.7002</v>
      </c>
      <c r="C408" s="14">
        <v>820.91629999999998</v>
      </c>
      <c r="D408" s="14">
        <v>828.79</v>
      </c>
      <c r="E408" s="14">
        <v>812.87300000000005</v>
      </c>
    </row>
    <row r="409" spans="1:5">
      <c r="A409" s="12">
        <v>45882</v>
      </c>
      <c r="B409" s="14">
        <v>519.81200000000001</v>
      </c>
      <c r="C409" s="14">
        <v>822.23800000000006</v>
      </c>
      <c r="D409" s="14">
        <v>828.47280000000001</v>
      </c>
      <c r="E409" s="14">
        <v>813.90319999999997</v>
      </c>
    </row>
    <row r="410" spans="1:5">
      <c r="A410" s="12">
        <v>45883</v>
      </c>
      <c r="B410" s="14">
        <v>519.9239</v>
      </c>
      <c r="C410" s="14">
        <v>824.00900000000001</v>
      </c>
      <c r="D410" s="14">
        <v>829.36680000000001</v>
      </c>
      <c r="E410" s="14">
        <v>815.14390000000003</v>
      </c>
    </row>
    <row r="411" spans="1:5">
      <c r="A411" s="12">
        <v>45884</v>
      </c>
      <c r="B411" s="14">
        <v>520.03579999999999</v>
      </c>
      <c r="C411" s="14">
        <v>823.35209999999995</v>
      </c>
      <c r="D411" s="14">
        <v>827.21749999999997</v>
      </c>
      <c r="E411" s="14">
        <v>814.61800000000005</v>
      </c>
    </row>
    <row r="412" spans="1:5">
      <c r="A412" s="12">
        <v>45887</v>
      </c>
      <c r="B412" s="14">
        <v>520.14819999999997</v>
      </c>
      <c r="C412" s="14">
        <v>821.92819999999995</v>
      </c>
      <c r="D412" s="14">
        <v>826.2269</v>
      </c>
      <c r="E412" s="14">
        <v>813.73590000000002</v>
      </c>
    </row>
    <row r="413" spans="1:5">
      <c r="A413" s="12">
        <v>45888</v>
      </c>
      <c r="B413" s="14">
        <v>520.59630000000004</v>
      </c>
      <c r="C413" s="14">
        <v>823.12379999999996</v>
      </c>
      <c r="D413" s="14">
        <v>826.96249999999998</v>
      </c>
      <c r="E413" s="14">
        <v>814.91690000000006</v>
      </c>
    </row>
    <row r="414" spans="1:5">
      <c r="A414" s="12">
        <v>45889</v>
      </c>
      <c r="B414" s="14">
        <v>520.59630000000004</v>
      </c>
      <c r="C414" s="14">
        <v>823.12379999999996</v>
      </c>
      <c r="D414" s="14">
        <v>826.96249999999998</v>
      </c>
      <c r="E414" s="14">
        <v>814.91690000000006</v>
      </c>
    </row>
    <row r="415" spans="1:5">
      <c r="A415" s="12">
        <v>45890</v>
      </c>
      <c r="B415" s="14">
        <v>520.70870000000002</v>
      </c>
      <c r="C415" s="14">
        <v>823.0018</v>
      </c>
      <c r="D415" s="14">
        <v>827.09829999999999</v>
      </c>
      <c r="E415" s="14">
        <v>814.71910000000003</v>
      </c>
    </row>
    <row r="416" spans="1:5">
      <c r="A416" s="12">
        <v>45891</v>
      </c>
      <c r="B416" s="14">
        <v>520.82100000000003</v>
      </c>
      <c r="C416" s="14">
        <v>822.22550000000001</v>
      </c>
      <c r="D416" s="14">
        <v>828.02170000000001</v>
      </c>
      <c r="E416" s="14">
        <v>814.41520000000003</v>
      </c>
    </row>
    <row r="417" spans="1:5">
      <c r="A417" s="12">
        <v>45894</v>
      </c>
      <c r="B417" s="14">
        <v>520.93320000000006</v>
      </c>
      <c r="C417" s="14">
        <v>827.72050000000002</v>
      </c>
      <c r="D417" s="14">
        <v>829.94259999999997</v>
      </c>
      <c r="E417" s="14">
        <v>817.79179999999997</v>
      </c>
    </row>
    <row r="418" spans="1:5">
      <c r="A418" s="12">
        <v>45895</v>
      </c>
      <c r="B418" s="14">
        <v>521.27</v>
      </c>
      <c r="C418" s="14">
        <v>827.98410000000001</v>
      </c>
      <c r="D418" s="14">
        <v>830.18899999999996</v>
      </c>
      <c r="E418" s="14">
        <v>818.14880000000005</v>
      </c>
    </row>
    <row r="419" spans="1:5">
      <c r="A419" s="12">
        <v>45896</v>
      </c>
      <c r="B419" s="14">
        <v>521.38260000000002</v>
      </c>
      <c r="C419" s="14">
        <v>828.58140000000003</v>
      </c>
      <c r="D419" s="14">
        <v>829.59929999999997</v>
      </c>
      <c r="E419" s="14">
        <v>818.71950000000004</v>
      </c>
    </row>
    <row r="420" spans="1:5">
      <c r="A420" s="12">
        <v>45897</v>
      </c>
      <c r="B420" s="14">
        <v>521.49509999999998</v>
      </c>
      <c r="C420" s="14">
        <v>829.01099999999997</v>
      </c>
      <c r="D420" s="14">
        <v>830.21450000000004</v>
      </c>
      <c r="E420" s="14">
        <v>819.02440000000001</v>
      </c>
    </row>
    <row r="421" spans="1:5">
      <c r="A421" s="12">
        <v>45898</v>
      </c>
      <c r="B421" s="14">
        <v>521.6078</v>
      </c>
      <c r="C421" s="14">
        <v>830.17989999999998</v>
      </c>
      <c r="D421" s="14">
        <v>829.40570000000002</v>
      </c>
      <c r="E421" s="14">
        <v>820.06330000000003</v>
      </c>
    </row>
    <row r="422" spans="1:5">
      <c r="A422" s="12">
        <v>45901</v>
      </c>
      <c r="B422" s="14">
        <v>521.94899999999996</v>
      </c>
      <c r="C422" s="14">
        <v>830.99530000000004</v>
      </c>
      <c r="D422" s="14">
        <v>830.42049999999995</v>
      </c>
      <c r="E422" s="14">
        <v>820.64089999999999</v>
      </c>
    </row>
    <row r="423" spans="1:5">
      <c r="A423" s="12">
        <v>45902</v>
      </c>
      <c r="B423" s="14">
        <v>522.06150000000002</v>
      </c>
      <c r="C423" s="14">
        <v>832.20339999999999</v>
      </c>
      <c r="D423" s="14">
        <v>830.76819999999998</v>
      </c>
      <c r="E423" s="14">
        <v>821.51580000000001</v>
      </c>
    </row>
    <row r="424" spans="1:5">
      <c r="A424" s="12">
        <v>45903</v>
      </c>
      <c r="B424" s="14">
        <v>522.17399999999998</v>
      </c>
      <c r="C424" s="14">
        <v>831.322</v>
      </c>
      <c r="D424" s="14">
        <v>833.2328</v>
      </c>
      <c r="E424" s="14">
        <v>821.18920000000003</v>
      </c>
    </row>
    <row r="425" spans="1:5">
      <c r="A425" s="12">
        <v>45904</v>
      </c>
      <c r="B425" s="14">
        <v>522.28660000000002</v>
      </c>
      <c r="C425" s="14">
        <v>832.36429999999996</v>
      </c>
      <c r="D425" s="14">
        <v>834.29690000000005</v>
      </c>
      <c r="E425" s="14">
        <v>821.79750000000001</v>
      </c>
    </row>
    <row r="426" spans="1:5">
      <c r="A426" s="12">
        <v>45905</v>
      </c>
      <c r="B426" s="14">
        <v>522.39919999999995</v>
      </c>
      <c r="C426" s="14">
        <v>834.1037</v>
      </c>
      <c r="D426" s="14">
        <v>834.47469999999998</v>
      </c>
      <c r="E426" s="14">
        <v>822.66750000000002</v>
      </c>
    </row>
    <row r="427" spans="1:5">
      <c r="A427" s="12">
        <v>45908</v>
      </c>
      <c r="B427" s="14">
        <v>522.51170000000002</v>
      </c>
      <c r="C427" s="14">
        <v>836.81460000000004</v>
      </c>
      <c r="D427" s="14">
        <v>836.42089999999996</v>
      </c>
      <c r="E427" s="14">
        <v>824.25109999999995</v>
      </c>
    </row>
    <row r="428" spans="1:5">
      <c r="A428" s="12">
        <v>45909</v>
      </c>
      <c r="B428" s="14">
        <v>522.84910000000002</v>
      </c>
      <c r="C428" s="14">
        <v>838.4547</v>
      </c>
      <c r="D428" s="14">
        <v>837.24030000000005</v>
      </c>
      <c r="E428" s="14">
        <v>825.13419999999996</v>
      </c>
    </row>
    <row r="429" spans="1:5">
      <c r="A429" s="12">
        <v>45910</v>
      </c>
      <c r="B429" s="14">
        <v>522.96169999999995</v>
      </c>
      <c r="C429" s="14">
        <v>837.69709999999998</v>
      </c>
      <c r="D429" s="14">
        <v>838.92250000000001</v>
      </c>
      <c r="E429" s="14">
        <v>824.73800000000006</v>
      </c>
    </row>
    <row r="430" spans="1:5">
      <c r="A430" s="12">
        <v>45911</v>
      </c>
      <c r="B430" s="14">
        <v>523.07420000000002</v>
      </c>
      <c r="C430" s="14">
        <v>840.70529999999997</v>
      </c>
      <c r="D430" s="14">
        <v>840.76949999999999</v>
      </c>
      <c r="E430" s="14">
        <v>826.22640000000001</v>
      </c>
    </row>
    <row r="431" spans="1:5">
      <c r="A431" s="12">
        <v>45912</v>
      </c>
      <c r="B431" s="14">
        <v>523.18679999999995</v>
      </c>
      <c r="C431" s="14">
        <v>844.75160000000005</v>
      </c>
      <c r="D431" s="14">
        <v>845.9742</v>
      </c>
      <c r="E431" s="14">
        <v>828.21019999999999</v>
      </c>
    </row>
    <row r="432" spans="1:5">
      <c r="A432" s="12">
        <v>45915</v>
      </c>
      <c r="B432" s="14">
        <v>523.63800000000003</v>
      </c>
      <c r="C432" s="14">
        <v>841.95119999999997</v>
      </c>
      <c r="D432" s="14">
        <v>848.05489999999998</v>
      </c>
      <c r="E432" s="14">
        <v>827.447</v>
      </c>
    </row>
    <row r="433" spans="1:5">
      <c r="A433" s="12">
        <v>45917</v>
      </c>
      <c r="B433" s="14">
        <v>523.63800000000003</v>
      </c>
      <c r="C433" s="14">
        <v>841.95119999999997</v>
      </c>
      <c r="D433" s="14">
        <v>848.05489999999998</v>
      </c>
      <c r="E433" s="14">
        <v>827.447</v>
      </c>
    </row>
    <row r="434" spans="1:5">
      <c r="A434" s="12">
        <v>45918</v>
      </c>
      <c r="B434" s="14">
        <v>523.86410000000001</v>
      </c>
      <c r="C434" s="14">
        <v>843.08979999999997</v>
      </c>
      <c r="D434" s="14">
        <v>850.39599999999996</v>
      </c>
      <c r="E434" s="14">
        <v>827.93129999999996</v>
      </c>
    </row>
    <row r="435" spans="1:5">
      <c r="A435" s="12">
        <v>45919</v>
      </c>
      <c r="B435" s="14">
        <v>524.09090000000003</v>
      </c>
      <c r="C435" s="14">
        <v>844.68389999999999</v>
      </c>
      <c r="D435" s="14">
        <v>855.00559999999996</v>
      </c>
      <c r="E435" s="14">
        <v>829.90970000000004</v>
      </c>
    </row>
    <row r="436" spans="1:5">
      <c r="A436" s="12">
        <v>45922</v>
      </c>
      <c r="B436" s="14">
        <v>524.09090000000003</v>
      </c>
      <c r="C436" s="14">
        <v>844.68389999999999</v>
      </c>
      <c r="D436" s="14">
        <v>855.00559999999996</v>
      </c>
      <c r="E436" s="14">
        <v>829.90970000000004</v>
      </c>
    </row>
    <row r="437" spans="1:5">
      <c r="A437" s="12">
        <v>45923</v>
      </c>
      <c r="B437" s="14">
        <v>524.4316</v>
      </c>
      <c r="C437" s="14">
        <v>845.87800000000004</v>
      </c>
      <c r="D437" s="14">
        <v>857.79930000000002</v>
      </c>
      <c r="E437" s="14">
        <v>831.19389999999999</v>
      </c>
    </row>
    <row r="438" spans="1:5">
      <c r="A438" s="12">
        <v>45924</v>
      </c>
      <c r="B438" s="14">
        <v>524.54489999999998</v>
      </c>
      <c r="C438" s="14">
        <v>846.85029999999995</v>
      </c>
      <c r="D438" s="14">
        <v>860.83109999999999</v>
      </c>
      <c r="E438" s="14">
        <v>831.60249999999996</v>
      </c>
    </row>
    <row r="439" spans="1:5">
      <c r="A439" s="12">
        <v>45925</v>
      </c>
      <c r="B439" s="14">
        <v>524.65859999999998</v>
      </c>
      <c r="C439" s="14">
        <v>847.4742</v>
      </c>
      <c r="D439" s="14">
        <v>863.2355</v>
      </c>
      <c r="E439" s="14">
        <v>832.16830000000004</v>
      </c>
    </row>
    <row r="440" spans="1:5">
      <c r="A440" s="12">
        <v>45926</v>
      </c>
      <c r="B440" s="14">
        <v>524.77260000000001</v>
      </c>
      <c r="C440" s="14">
        <v>846.49900000000002</v>
      </c>
      <c r="D440" s="14">
        <v>861.07270000000005</v>
      </c>
      <c r="E440" s="14">
        <v>831.61189999999999</v>
      </c>
    </row>
    <row r="441" spans="1:5">
      <c r="A441" s="12">
        <v>45929</v>
      </c>
      <c r="B441" s="14">
        <v>524.88379999999995</v>
      </c>
      <c r="C441" s="14">
        <v>844.22199999999998</v>
      </c>
      <c r="D441" s="14">
        <v>856.82799999999997</v>
      </c>
      <c r="E441" s="14">
        <v>830.31439999999998</v>
      </c>
    </row>
    <row r="442" spans="1:5">
      <c r="A442" s="12">
        <v>45930</v>
      </c>
      <c r="B442" s="14">
        <v>525.21619999999996</v>
      </c>
      <c r="C442" s="14">
        <v>845.10140000000001</v>
      </c>
      <c r="D442" s="14">
        <v>856.40809999999999</v>
      </c>
      <c r="E442" s="14">
        <v>831.21969999999999</v>
      </c>
    </row>
    <row r="443" spans="1:5">
      <c r="A443" s="12">
        <v>45931</v>
      </c>
      <c r="B443" s="14">
        <v>525.33069999999998</v>
      </c>
      <c r="C443" s="14">
        <v>844.88130000000001</v>
      </c>
      <c r="D443" s="14">
        <v>859.18880000000001</v>
      </c>
      <c r="E443" s="14">
        <v>831.35490000000004</v>
      </c>
    </row>
    <row r="444" spans="1:5">
      <c r="A444" s="12">
        <v>45932</v>
      </c>
      <c r="B444" s="14">
        <v>525.44169999999997</v>
      </c>
      <c r="C444" s="14">
        <v>845.29240000000004</v>
      </c>
      <c r="D444" s="14">
        <v>858.68430000000001</v>
      </c>
      <c r="E444" s="14">
        <v>832.12480000000005</v>
      </c>
    </row>
    <row r="445" spans="1:5">
      <c r="A445" s="12">
        <v>45933</v>
      </c>
      <c r="B445" s="14">
        <v>525.55240000000003</v>
      </c>
      <c r="C445" s="14">
        <v>844.5598</v>
      </c>
      <c r="D445" s="14">
        <v>854.697</v>
      </c>
      <c r="E445" s="14">
        <v>831.37739999999997</v>
      </c>
    </row>
    <row r="446" spans="1:5">
      <c r="A446" s="12">
        <v>45936</v>
      </c>
      <c r="B446" s="14">
        <v>525.66269999999997</v>
      </c>
      <c r="C446" s="14">
        <v>844.82989999999995</v>
      </c>
      <c r="D446" s="14">
        <v>856.48820000000001</v>
      </c>
      <c r="E446" s="14">
        <v>831.72239999999999</v>
      </c>
    </row>
    <row r="447" spans="1:5">
      <c r="A447" s="12">
        <v>45937</v>
      </c>
      <c r="B447" s="14">
        <v>525.99210000000005</v>
      </c>
      <c r="C447" s="14">
        <v>845.65869999999995</v>
      </c>
      <c r="D447" s="14">
        <v>860.84059999999999</v>
      </c>
      <c r="E447" s="14">
        <v>832.45569999999998</v>
      </c>
    </row>
    <row r="448" spans="1:5">
      <c r="A448" s="12">
        <v>45938</v>
      </c>
      <c r="B448" s="14">
        <v>526.10209999999995</v>
      </c>
      <c r="C448" s="14">
        <v>845.8433</v>
      </c>
      <c r="D448" s="14">
        <v>865.81709999999998</v>
      </c>
      <c r="E448" s="14">
        <v>832.56679999999994</v>
      </c>
    </row>
    <row r="449" spans="1:5">
      <c r="A449" s="12">
        <v>45939</v>
      </c>
      <c r="B449" s="14">
        <v>526.21180000000004</v>
      </c>
      <c r="C449" s="14">
        <v>845.69399999999996</v>
      </c>
      <c r="D449" s="14">
        <v>868.39850000000001</v>
      </c>
      <c r="E449" s="14">
        <v>832.50239999999997</v>
      </c>
    </row>
    <row r="450" spans="1:5">
      <c r="A450" s="12">
        <v>45940</v>
      </c>
      <c r="B450" s="14">
        <v>526.32190000000003</v>
      </c>
      <c r="C450" s="14">
        <v>848.35299999999995</v>
      </c>
      <c r="D450" s="14">
        <v>872.49959999999999</v>
      </c>
      <c r="E450" s="14">
        <v>834.10569999999996</v>
      </c>
    </row>
    <row r="451" spans="1:5">
      <c r="A451" s="12">
        <v>45943</v>
      </c>
      <c r="B451" s="14">
        <v>526.43179999999995</v>
      </c>
      <c r="C451" s="14">
        <v>849.78629999999998</v>
      </c>
      <c r="D451" s="14">
        <v>872.54939999999999</v>
      </c>
      <c r="E451" s="14">
        <v>835.41520000000003</v>
      </c>
    </row>
    <row r="452" spans="1:5">
      <c r="A452" s="12">
        <v>45944</v>
      </c>
      <c r="B452" s="14">
        <v>526.76210000000003</v>
      </c>
      <c r="C452" s="14">
        <v>850.93409999999994</v>
      </c>
      <c r="D452" s="14">
        <v>873.41560000000004</v>
      </c>
      <c r="E452" s="14">
        <v>836.31399999999996</v>
      </c>
    </row>
    <row r="453" spans="1:5">
      <c r="A453" s="12">
        <v>45945</v>
      </c>
      <c r="B453" s="14">
        <v>526.87239999999997</v>
      </c>
      <c r="C453" s="14">
        <v>850.96759999999995</v>
      </c>
      <c r="D453" s="14">
        <v>878.17110000000002</v>
      </c>
      <c r="E453" s="14">
        <v>836.26409999999998</v>
      </c>
    </row>
    <row r="454" spans="1:5">
      <c r="A454" s="12">
        <v>45946</v>
      </c>
      <c r="B454" s="14">
        <v>526.98249999999996</v>
      </c>
      <c r="C454" s="14">
        <v>853.54330000000004</v>
      </c>
      <c r="D454" s="14">
        <v>880.52629999999999</v>
      </c>
      <c r="E454" s="14">
        <v>837.93619999999999</v>
      </c>
    </row>
    <row r="455" spans="1:5">
      <c r="A455" s="12">
        <v>45947</v>
      </c>
      <c r="B455" s="14">
        <v>527.09280000000001</v>
      </c>
      <c r="C455" s="14">
        <v>854.1943</v>
      </c>
      <c r="D455" s="14">
        <v>878.4556</v>
      </c>
      <c r="E455" s="14">
        <v>838.28809999999999</v>
      </c>
    </row>
    <row r="456" spans="1:5">
      <c r="A456" s="12">
        <v>45950</v>
      </c>
      <c r="B456" s="14">
        <v>527.20280000000002</v>
      </c>
      <c r="C456" s="14">
        <v>852.67049999999995</v>
      </c>
      <c r="D456" s="14">
        <v>876.00009999999997</v>
      </c>
      <c r="E456" s="14">
        <v>837.58230000000003</v>
      </c>
    </row>
    <row r="457" spans="1:5">
      <c r="A457" s="12">
        <v>45951</v>
      </c>
      <c r="B457" s="14">
        <v>527.53309999999999</v>
      </c>
      <c r="C457" s="14">
        <v>852.279</v>
      </c>
      <c r="D457" s="14">
        <v>875.32069999999999</v>
      </c>
      <c r="E457" s="14">
        <v>838.26350000000002</v>
      </c>
    </row>
    <row r="458" spans="1:5">
      <c r="A458" s="12">
        <v>45952</v>
      </c>
      <c r="B458" s="14">
        <v>527.64329999999995</v>
      </c>
      <c r="C458" s="14">
        <v>853.47029999999995</v>
      </c>
      <c r="D458" s="14">
        <v>874.41</v>
      </c>
      <c r="E458" s="14">
        <v>839.55939999999998</v>
      </c>
    </row>
    <row r="459" spans="1:5">
      <c r="A459" s="12">
        <v>45953</v>
      </c>
      <c r="B459" s="14">
        <v>527.75350000000003</v>
      </c>
      <c r="C459" s="14">
        <v>853.41269999999997</v>
      </c>
      <c r="D459" s="14">
        <v>871.78819999999996</v>
      </c>
      <c r="E459" s="14">
        <v>840.05399999999997</v>
      </c>
    </row>
    <row r="460" spans="1:5">
      <c r="A460" s="12">
        <v>45954</v>
      </c>
      <c r="B460" s="14">
        <v>527.86389999999994</v>
      </c>
      <c r="C460" s="14">
        <v>852.5231</v>
      </c>
      <c r="D460" s="14">
        <v>869.81200000000001</v>
      </c>
      <c r="E460" s="14">
        <v>839.77769999999998</v>
      </c>
    </row>
    <row r="461" spans="1:5">
      <c r="A461" s="12">
        <v>45957</v>
      </c>
      <c r="B461" s="14">
        <v>527.97429999999997</v>
      </c>
      <c r="C461" s="14">
        <v>850.7491</v>
      </c>
      <c r="D461" s="14">
        <v>867.928</v>
      </c>
      <c r="E461" s="14">
        <v>839.18230000000005</v>
      </c>
    </row>
    <row r="462" spans="1:5">
      <c r="A462" s="12">
        <v>45958</v>
      </c>
      <c r="B462" s="14">
        <v>528.30650000000003</v>
      </c>
      <c r="C462" s="14">
        <v>852.64229999999998</v>
      </c>
      <c r="D462" s="14">
        <v>870.10640000000001</v>
      </c>
      <c r="E462" s="14">
        <v>840.09789999999998</v>
      </c>
    </row>
    <row r="463" spans="1:5">
      <c r="A463" s="12">
        <v>45959</v>
      </c>
      <c r="B463" s="14">
        <v>528.41750000000002</v>
      </c>
      <c r="C463" s="14">
        <v>854.09519999999998</v>
      </c>
      <c r="D463" s="14">
        <v>873.05470000000003</v>
      </c>
      <c r="E463" s="14">
        <v>840.29830000000004</v>
      </c>
    </row>
    <row r="464" spans="1:5">
      <c r="A464" s="12">
        <v>45960</v>
      </c>
      <c r="B464" s="14">
        <v>528.52779999999996</v>
      </c>
      <c r="C464" s="14">
        <v>851.10749999999996</v>
      </c>
      <c r="D464" s="14">
        <v>869.16520000000003</v>
      </c>
      <c r="E464" s="14">
        <v>838.57820000000004</v>
      </c>
    </row>
    <row r="465" spans="1:5">
      <c r="A465" s="12">
        <v>45961</v>
      </c>
      <c r="B465" s="14">
        <v>528.63819999999998</v>
      </c>
      <c r="C465" s="14">
        <v>850.8075</v>
      </c>
      <c r="D465" s="14">
        <v>869.57799999999997</v>
      </c>
      <c r="E465" s="14">
        <v>838.48220000000003</v>
      </c>
    </row>
    <row r="466" spans="1:5">
      <c r="A466" s="12">
        <v>45964</v>
      </c>
      <c r="B466" s="14">
        <v>528.75</v>
      </c>
      <c r="C466" s="14">
        <v>850.99109999999996</v>
      </c>
      <c r="D466" s="14">
        <v>867.18560000000002</v>
      </c>
      <c r="E466" s="14">
        <v>838.73289999999997</v>
      </c>
    </row>
    <row r="467" spans="1:5">
      <c r="A467" s="12">
        <v>45965</v>
      </c>
      <c r="B467" s="14">
        <v>529.08180000000004</v>
      </c>
      <c r="C467" s="14">
        <v>850.98400000000004</v>
      </c>
      <c r="D467" s="14">
        <v>867.9271</v>
      </c>
      <c r="E467" s="14">
        <v>838.91160000000002</v>
      </c>
    </row>
    <row r="468" spans="1:5">
      <c r="A468" s="12">
        <v>45966</v>
      </c>
      <c r="B468" s="14">
        <v>529.19209999999998</v>
      </c>
      <c r="C468" s="14">
        <v>850.74429999999995</v>
      </c>
      <c r="D468" s="14">
        <v>865.08209999999997</v>
      </c>
      <c r="E468" s="14">
        <v>839.08399999999995</v>
      </c>
    </row>
    <row r="469" spans="1:5">
      <c r="A469" s="12">
        <v>45967</v>
      </c>
      <c r="B469" s="14">
        <v>529.30240000000003</v>
      </c>
      <c r="C469" s="14">
        <v>849.55690000000004</v>
      </c>
      <c r="D469" s="14">
        <v>861.34439999999995</v>
      </c>
      <c r="E469" s="14">
        <v>838.89020000000005</v>
      </c>
    </row>
    <row r="470" spans="1:5">
      <c r="A470" s="12">
        <v>45968</v>
      </c>
      <c r="B470" s="14">
        <v>529.41269999999997</v>
      </c>
      <c r="C470" s="14">
        <v>849.59829999999999</v>
      </c>
      <c r="D470" s="14">
        <v>863.20839999999998</v>
      </c>
      <c r="E470" s="14">
        <v>838.27890000000002</v>
      </c>
    </row>
    <row r="471" spans="1:5">
      <c r="A471" s="12">
        <v>45971</v>
      </c>
      <c r="B471" s="14">
        <v>529.51930000000004</v>
      </c>
      <c r="C471" s="14">
        <v>847.54179999999997</v>
      </c>
      <c r="D471" s="14">
        <v>858.72249999999997</v>
      </c>
      <c r="E471" s="14">
        <v>837.06769999999995</v>
      </c>
    </row>
    <row r="472" spans="1:5">
      <c r="A472" s="12">
        <v>45972</v>
      </c>
      <c r="B472" s="14">
        <v>529.83920000000001</v>
      </c>
      <c r="C472" s="14">
        <v>847.31290000000001</v>
      </c>
      <c r="D472" s="14">
        <v>857.52710000000002</v>
      </c>
      <c r="E472" s="14">
        <v>837.33669999999995</v>
      </c>
    </row>
    <row r="473" spans="1:5">
      <c r="A473" s="12">
        <v>45973</v>
      </c>
      <c r="B473" s="14">
        <v>529.94600000000003</v>
      </c>
      <c r="C473" s="14">
        <v>846.54949999999997</v>
      </c>
      <c r="D473" s="14">
        <v>852.68960000000004</v>
      </c>
      <c r="E473" s="14">
        <v>836.96469999999999</v>
      </c>
    </row>
    <row r="474" spans="1:5">
      <c r="A474" s="12">
        <v>45974</v>
      </c>
      <c r="B474" s="14">
        <v>530.05290000000002</v>
      </c>
      <c r="C474" s="14">
        <v>848.83399999999995</v>
      </c>
      <c r="D474" s="14">
        <v>858.82439999999997</v>
      </c>
      <c r="E474" s="14">
        <v>838.03800000000001</v>
      </c>
    </row>
    <row r="475" spans="1:5">
      <c r="A475" s="12">
        <v>45975</v>
      </c>
      <c r="B475" s="14">
        <v>530.26660000000004</v>
      </c>
      <c r="C475" s="14">
        <v>850.16279999999995</v>
      </c>
      <c r="D475" s="14">
        <v>861.85540000000003</v>
      </c>
      <c r="E475" s="14">
        <v>838.06960000000004</v>
      </c>
    </row>
    <row r="476" spans="1:5">
      <c r="A476" s="12">
        <v>45979</v>
      </c>
      <c r="B476" s="14">
        <v>530.26660000000004</v>
      </c>
      <c r="C476" s="14">
        <v>850.16279999999995</v>
      </c>
      <c r="D476" s="14">
        <v>861.85540000000003</v>
      </c>
      <c r="E476" s="14">
        <v>838.06960000000004</v>
      </c>
    </row>
    <row r="477" spans="1:5">
      <c r="A477" s="12">
        <v>45980</v>
      </c>
      <c r="B477" s="14">
        <v>530.6943</v>
      </c>
      <c r="C477" s="14">
        <v>852.16949999999997</v>
      </c>
      <c r="D477" s="14">
        <v>866.86829999999998</v>
      </c>
      <c r="E477" s="14">
        <v>839.23630000000003</v>
      </c>
    </row>
    <row r="478" spans="1:5">
      <c r="A478" s="12">
        <v>45981</v>
      </c>
      <c r="B478" s="14">
        <v>530.80219999999997</v>
      </c>
      <c r="C478" s="14">
        <v>852.01059999999995</v>
      </c>
      <c r="D478" s="14">
        <v>869.37009999999998</v>
      </c>
      <c r="E478" s="14">
        <v>839.29309999999998</v>
      </c>
    </row>
    <row r="479" spans="1:5">
      <c r="A479" s="12">
        <v>45982</v>
      </c>
      <c r="B479" s="14">
        <v>530.90989999999999</v>
      </c>
      <c r="C479" s="14">
        <v>852.11130000000003</v>
      </c>
      <c r="D479" s="14">
        <v>869.43589999999995</v>
      </c>
      <c r="E479" s="14">
        <v>839.15210000000002</v>
      </c>
    </row>
    <row r="480" spans="1:5">
      <c r="A480" s="12">
        <v>45985</v>
      </c>
      <c r="B480" s="14">
        <v>531.01769999999999</v>
      </c>
      <c r="C480" s="14">
        <v>850.92819999999995</v>
      </c>
      <c r="D480" s="14">
        <v>869.54549999999995</v>
      </c>
      <c r="E480" s="14">
        <v>838.69039999999995</v>
      </c>
    </row>
    <row r="481" spans="1:5">
      <c r="A481" s="12">
        <v>45986</v>
      </c>
      <c r="B481" s="14">
        <v>531.34069999999997</v>
      </c>
      <c r="C481" s="14">
        <v>851.43020000000001</v>
      </c>
      <c r="D481" s="14">
        <v>870.39840000000004</v>
      </c>
      <c r="E481" s="14">
        <v>839.04139999999995</v>
      </c>
    </row>
    <row r="482" spans="1:5">
      <c r="A482" s="12">
        <v>45987</v>
      </c>
      <c r="B482" s="14">
        <v>531.44920000000002</v>
      </c>
      <c r="C482" s="14">
        <v>852.74760000000003</v>
      </c>
      <c r="D482" s="14">
        <v>872.07029999999997</v>
      </c>
      <c r="E482" s="14">
        <v>839.86789999999996</v>
      </c>
    </row>
    <row r="483" spans="1:5">
      <c r="A483" s="12">
        <v>45988</v>
      </c>
      <c r="B483" s="14">
        <v>531.55769999999995</v>
      </c>
      <c r="C483" s="14">
        <v>854.94770000000005</v>
      </c>
      <c r="D483" s="14">
        <v>874.76819999999998</v>
      </c>
      <c r="E483" s="14">
        <v>841.3424</v>
      </c>
    </row>
    <row r="484" spans="1:5">
      <c r="A484" s="12">
        <v>45989</v>
      </c>
      <c r="B484" s="14">
        <v>531.99580000000003</v>
      </c>
      <c r="C484" s="14">
        <v>855.7405</v>
      </c>
      <c r="D484" s="14">
        <v>879.16300000000001</v>
      </c>
      <c r="E484" s="14">
        <v>841.98109999999997</v>
      </c>
    </row>
    <row r="485" spans="1:5">
      <c r="A485" s="12">
        <v>45992</v>
      </c>
      <c r="B485" s="14">
        <v>531.99580000000003</v>
      </c>
      <c r="C485" s="14">
        <v>855.7405</v>
      </c>
      <c r="D485" s="14">
        <v>879.16300000000001</v>
      </c>
      <c r="E485" s="14">
        <v>841.98109999999997</v>
      </c>
    </row>
    <row r="486" spans="1:5">
      <c r="A486" s="12">
        <v>45993</v>
      </c>
      <c r="B486" s="14">
        <v>532.10410000000002</v>
      </c>
      <c r="C486" s="14">
        <v>855.23050000000001</v>
      </c>
      <c r="D486" s="14">
        <v>881.04269999999997</v>
      </c>
      <c r="E486" s="14">
        <v>842.02049999999997</v>
      </c>
    </row>
    <row r="487" spans="1:5">
      <c r="A487" s="12">
        <v>45994</v>
      </c>
      <c r="B487" s="14">
        <v>532.21209999999996</v>
      </c>
      <c r="C487" s="14">
        <v>857.54510000000005</v>
      </c>
      <c r="D487" s="14">
        <v>886.08040000000005</v>
      </c>
      <c r="E487" s="14">
        <v>842.90660000000003</v>
      </c>
    </row>
    <row r="488" spans="1:5">
      <c r="A488" s="12">
        <v>45995</v>
      </c>
      <c r="B488" s="14">
        <v>532.31960000000004</v>
      </c>
      <c r="C488" s="14">
        <v>859.24659999999994</v>
      </c>
      <c r="D488" s="14">
        <v>889.70759999999996</v>
      </c>
      <c r="E488" s="14">
        <v>843.67629999999997</v>
      </c>
    </row>
    <row r="489" spans="1:5">
      <c r="A489" s="12">
        <v>45996</v>
      </c>
      <c r="B489" s="14">
        <v>532.42660000000001</v>
      </c>
      <c r="C489" s="14">
        <v>858.27980000000002</v>
      </c>
      <c r="D489" s="14">
        <v>892.08600000000001</v>
      </c>
      <c r="E489" s="14">
        <v>843.01610000000005</v>
      </c>
    </row>
    <row r="490" spans="1:5">
      <c r="A490" s="12">
        <v>45999</v>
      </c>
      <c r="B490" s="14">
        <v>532.53359999999998</v>
      </c>
      <c r="C490" s="14">
        <v>856.78769999999997</v>
      </c>
      <c r="D490" s="14">
        <v>891.10990000000004</v>
      </c>
      <c r="E490" s="14">
        <v>842.31859999999995</v>
      </c>
    </row>
    <row r="491" spans="1:5">
      <c r="A491" s="12">
        <v>46000</v>
      </c>
      <c r="B491" s="14">
        <v>532.85490000000004</v>
      </c>
      <c r="C491" s="14">
        <v>854.50890000000004</v>
      </c>
      <c r="D491" s="14">
        <v>888.33150000000001</v>
      </c>
      <c r="E491" s="14">
        <v>841.05029999999999</v>
      </c>
    </row>
    <row r="492" spans="1:5">
      <c r="A492" s="12">
        <v>46001</v>
      </c>
      <c r="B492" s="14">
        <v>532.96220000000005</v>
      </c>
      <c r="C492" s="14">
        <v>849.22329999999999</v>
      </c>
      <c r="D492" s="14">
        <v>881.74869999999999</v>
      </c>
      <c r="E492" s="14">
        <v>837.31010000000003</v>
      </c>
    </row>
    <row r="493" spans="1:5">
      <c r="A493" s="12">
        <v>46002</v>
      </c>
      <c r="B493" s="14">
        <v>533.17679999999996</v>
      </c>
      <c r="C493" s="14">
        <v>848.99459999999999</v>
      </c>
      <c r="D493" s="14">
        <v>877.1232</v>
      </c>
      <c r="E493" s="14">
        <v>837.36569999999995</v>
      </c>
    </row>
    <row r="494" spans="1:5">
      <c r="A494" s="12">
        <v>46006</v>
      </c>
      <c r="B494" s="14">
        <v>533.17679999999996</v>
      </c>
      <c r="C494" s="14">
        <v>848.99459999999999</v>
      </c>
      <c r="D494" s="14">
        <v>877.1232</v>
      </c>
      <c r="E494" s="14">
        <v>837.36569999999995</v>
      </c>
    </row>
    <row r="495" spans="1:5">
      <c r="A495" s="12">
        <v>46007</v>
      </c>
      <c r="B495" s="14">
        <v>533.6069</v>
      </c>
      <c r="C495" s="14">
        <v>848.24850000000004</v>
      </c>
      <c r="D495" s="14">
        <v>875.76620000000003</v>
      </c>
      <c r="E495" s="14">
        <v>837.60209999999995</v>
      </c>
    </row>
    <row r="496" spans="1:5">
      <c r="A496" s="12">
        <v>46008</v>
      </c>
      <c r="B496" s="14">
        <v>533.71479999999997</v>
      </c>
      <c r="C496" s="14">
        <v>850.52869999999996</v>
      </c>
      <c r="D496" s="14">
        <v>876.02670000000001</v>
      </c>
      <c r="E496" s="14">
        <v>839.54250000000002</v>
      </c>
    </row>
    <row r="497" spans="1:5">
      <c r="A497" s="12">
        <v>46009</v>
      </c>
      <c r="B497" s="14">
        <v>533.82259999999997</v>
      </c>
      <c r="C497" s="14">
        <v>853.35760000000005</v>
      </c>
      <c r="D497" s="14">
        <v>881.44590000000005</v>
      </c>
      <c r="E497" s="14">
        <v>841.39440000000002</v>
      </c>
    </row>
    <row r="498" spans="1:5">
      <c r="A498" s="12">
        <v>46010</v>
      </c>
      <c r="B498" s="14">
        <v>533.93010000000004</v>
      </c>
      <c r="C498" s="14">
        <v>853.64610000000005</v>
      </c>
      <c r="D498" s="14">
        <v>883.79740000000004</v>
      </c>
      <c r="E498" s="14">
        <v>842.75549999999998</v>
      </c>
    </row>
    <row r="499" spans="1:5">
      <c r="A499" s="12">
        <f t="shared" si="6"/>
        <v>46013</v>
      </c>
      <c r="B499" s="14">
        <f>VLOOKUP(B$1,[1]Diario!$B$9:$C$10000,2,0)</f>
        <v>534.03489999999999</v>
      </c>
      <c r="C499" s="14">
        <f>VLOOKUP(C$1,[1]Diario!$B$9:$C$10000,2,0)</f>
        <v>853.14700000000005</v>
      </c>
      <c r="D499" s="14">
        <f>VLOOKUP(D$1,[1]Diario!$B$9:$C$10000,2,0)</f>
        <v>882.88869999999997</v>
      </c>
      <c r="E499" s="14">
        <f>VLOOKUP(E$1,[1]Diario!$B$9:$C$10000,2,0)</f>
        <v>842.7989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festivos</vt:lpstr>
      <vt:lpstr>catalogo</vt:lpstr>
      <vt:lpstr>indices</vt:lpstr>
      <vt:lpstr>Días_festivos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Andrade</dc:creator>
  <cp:lastModifiedBy>Jerónimo Guzman Casas</cp:lastModifiedBy>
  <dcterms:created xsi:type="dcterms:W3CDTF">2025-06-18T20:01:52Z</dcterms:created>
  <dcterms:modified xsi:type="dcterms:W3CDTF">2025-12-26T17:25:07Z</dcterms:modified>
</cp:coreProperties>
</file>